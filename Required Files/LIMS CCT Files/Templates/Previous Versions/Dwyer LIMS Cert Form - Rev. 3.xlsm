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dc5\Dwyer Engineering LIMS\Required Files\LIMS CCT Files\Templates\"/>
    </mc:Choice>
  </mc:AlternateContent>
  <bookViews>
    <workbookView xWindow="240" yWindow="225" windowWidth="14805" windowHeight="7890" firstSheet="2" activeTab="10"/>
  </bookViews>
  <sheets>
    <sheet name="Single" sheetId="1" state="hidden" r:id="rId1"/>
    <sheet name="Single Plain" sheetId="5" state="hidden" r:id="rId2"/>
    <sheet name="Revision Log" sheetId="12" r:id="rId3"/>
    <sheet name="Single, Plain, AFAL" sheetId="7" state="hidden" r:id="rId4"/>
    <sheet name="Dual" sheetId="2" state="hidden" r:id="rId5"/>
    <sheet name="Dual Plain" sheetId="4" state="hidden" r:id="rId6"/>
    <sheet name="Dual, Plain, AFAL" sheetId="8" state="hidden" r:id="rId7"/>
    <sheet name="Transmitter" sheetId="3" state="hidden" r:id="rId8"/>
    <sheet name="Transmitter Plain" sheetId="6" state="hidden" r:id="rId9"/>
    <sheet name="Transmitter, Plain, AFAL" sheetId="9" state="hidden" r:id="rId10"/>
    <sheet name="Single, Plain, Unc., AFAL" sheetId="11" r:id="rId11"/>
    <sheet name="PFA Calculator Validation" sheetId="13" r:id="rId12"/>
    <sheet name="Description and Accuracy Ref" sheetId="10" state="hidden" r:id="rId13"/>
  </sheets>
  <functionGroups builtInGroupCount="18"/>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4">Dual!$A$1:$L$66</definedName>
    <definedName name="_xlnm.Print_Area" localSheetId="5">'Dual Plain'!$A$1:$L$75</definedName>
    <definedName name="_xlnm.Print_Area" localSheetId="6">'Dual, Plain, AFAL'!$A$1:$L$60,'Dual, Plain, AFAL'!$A$66:$L$128</definedName>
    <definedName name="_xlnm.Print_Area" localSheetId="0">Single!$A$1:$L$53</definedName>
    <definedName name="_xlnm.Print_Area" localSheetId="1">'Single Plain'!$A$1:$L$60</definedName>
    <definedName name="_xlnm.Print_Area" localSheetId="3">'Single, Plain, AFAL'!$A$1:$L$57,'Single, Plain, AFAL'!$A$66:$L$117</definedName>
    <definedName name="_xlnm.Print_Area" localSheetId="10">'Single, Plain, Unc., AFAL'!$A$1:$L$60</definedName>
    <definedName name="_xlnm.Print_Area" localSheetId="7">Transmitter!$A$1:$L$56</definedName>
    <definedName name="_xlnm.Print_Area" localSheetId="8">'Transmitter Plain'!$A$1:$L$63</definedName>
    <definedName name="_xlnm.Print_Area" localSheetId="9">'Transmitter, Plain, AFAL'!$A$1:$L$60,'Transmitter, Plain, AFAL'!$A$66:$L$117</definedName>
    <definedName name="Range">'Description and Accuracy Ref'!$G$5:$G$1678</definedName>
  </definedNames>
  <calcPr calcId="152511"/>
</workbook>
</file>

<file path=xl/calcChain.xml><?xml version="1.0" encoding="utf-8"?>
<calcChain xmlns="http://schemas.openxmlformats.org/spreadsheetml/2006/main">
  <c r="I59" i="11" l="1"/>
  <c r="C55" i="11"/>
  <c r="U79" i="11" l="1"/>
  <c r="V79" i="11"/>
  <c r="W79" i="11" s="1"/>
  <c r="X79" i="11"/>
  <c r="Y79" i="11" s="1"/>
  <c r="U80" i="11"/>
  <c r="V80" i="11"/>
  <c r="W80" i="11" s="1"/>
  <c r="Z80" i="11" s="1"/>
  <c r="X80" i="11"/>
  <c r="Y80" i="11" s="1"/>
  <c r="U81" i="11"/>
  <c r="V81" i="11"/>
  <c r="W81" i="11" s="1"/>
  <c r="X81" i="11"/>
  <c r="Y81" i="11" s="1"/>
  <c r="U82" i="11"/>
  <c r="V82" i="11"/>
  <c r="W82" i="11" s="1"/>
  <c r="X82" i="11"/>
  <c r="Y82" i="11" s="1"/>
  <c r="U83" i="11"/>
  <c r="V83" i="11"/>
  <c r="W83" i="11" s="1"/>
  <c r="Z83" i="11" s="1"/>
  <c r="X83" i="11"/>
  <c r="Y83" i="11"/>
  <c r="U84" i="11"/>
  <c r="V84" i="11"/>
  <c r="W84" i="11" s="1"/>
  <c r="X84" i="11"/>
  <c r="Y84" i="11" s="1"/>
  <c r="U85" i="11"/>
  <c r="V85" i="11"/>
  <c r="W85" i="11"/>
  <c r="X85" i="11"/>
  <c r="Y85" i="11"/>
  <c r="Z85" i="11"/>
  <c r="AA85" i="11"/>
  <c r="Z82" i="11" l="1"/>
  <c r="AB82" i="11" s="1"/>
  <c r="AA82" i="11"/>
  <c r="AB85" i="11"/>
  <c r="AB83" i="11"/>
  <c r="AC85" i="11"/>
  <c r="AB80" i="11"/>
  <c r="Z79" i="11"/>
  <c r="AB79" i="11" s="1"/>
  <c r="AA79" i="11"/>
  <c r="Z84" i="11"/>
  <c r="AB84" i="11" s="1"/>
  <c r="AA84" i="11"/>
  <c r="Z81" i="11"/>
  <c r="AB81" i="11" s="1"/>
  <c r="AA81" i="11"/>
  <c r="AC81" i="11"/>
  <c r="AC83" i="11"/>
  <c r="AC80" i="11"/>
  <c r="AA83" i="11"/>
  <c r="AA80" i="11"/>
  <c r="AC79" i="11"/>
  <c r="G170" i="11"/>
  <c r="G169" i="11"/>
  <c r="G168" i="11"/>
  <c r="G167" i="11"/>
  <c r="G166" i="11"/>
  <c r="G165" i="11"/>
  <c r="G164" i="11"/>
  <c r="G163" i="11"/>
  <c r="G162" i="11"/>
  <c r="G161" i="11"/>
  <c r="G160" i="11"/>
  <c r="G159" i="11"/>
  <c r="G158" i="11"/>
  <c r="G157" i="11"/>
  <c r="G156" i="11"/>
  <c r="G155" i="11"/>
  <c r="G154" i="11"/>
  <c r="G153" i="11"/>
  <c r="G152" i="11"/>
  <c r="G151" i="11"/>
  <c r="G150" i="11"/>
  <c r="G80" i="11"/>
  <c r="G81" i="11"/>
  <c r="G82" i="11"/>
  <c r="G83" i="11"/>
  <c r="G84" i="11"/>
  <c r="G85" i="11"/>
  <c r="G86" i="11"/>
  <c r="G87" i="11"/>
  <c r="G88" i="11"/>
  <c r="G89" i="11"/>
  <c r="G90" i="11"/>
  <c r="G91" i="11"/>
  <c r="G92" i="11"/>
  <c r="G93" i="11"/>
  <c r="G94" i="11"/>
  <c r="G95" i="11"/>
  <c r="G96" i="11"/>
  <c r="G97" i="11"/>
  <c r="G98" i="11"/>
  <c r="G99" i="11"/>
  <c r="G79" i="11"/>
  <c r="AD85" i="11"/>
  <c r="AE85" i="11"/>
  <c r="AE79" i="11"/>
  <c r="AD79" i="11"/>
  <c r="AE83" i="11"/>
  <c r="AE80" i="11"/>
  <c r="AE81" i="11"/>
  <c r="AD81" i="11"/>
  <c r="AC84" i="11" l="1"/>
  <c r="AC82" i="11"/>
  <c r="F152" i="11"/>
  <c r="F154" i="11"/>
  <c r="F159" i="11"/>
  <c r="F162" i="11"/>
  <c r="F167" i="11"/>
  <c r="F168" i="11"/>
  <c r="F169" i="11"/>
  <c r="F170" i="11"/>
  <c r="X86" i="11"/>
  <c r="X87" i="11"/>
  <c r="X88" i="11"/>
  <c r="X89" i="11"/>
  <c r="X90" i="11"/>
  <c r="X91" i="11"/>
  <c r="X92" i="11"/>
  <c r="X93" i="11"/>
  <c r="X94" i="11"/>
  <c r="X95" i="11"/>
  <c r="X96" i="11"/>
  <c r="X97" i="11"/>
  <c r="X98" i="11"/>
  <c r="X99" i="11"/>
  <c r="H170" i="11"/>
  <c r="E170" i="11"/>
  <c r="X169" i="11"/>
  <c r="H169" i="11"/>
  <c r="E169" i="11"/>
  <c r="T168" i="11"/>
  <c r="H168" i="11"/>
  <c r="E168" i="11"/>
  <c r="U168" i="11" s="1"/>
  <c r="X167" i="11"/>
  <c r="J167" i="11" s="1"/>
  <c r="U167" i="11"/>
  <c r="H167" i="11"/>
  <c r="E167" i="11"/>
  <c r="T166" i="11"/>
  <c r="V166" i="11" s="1"/>
  <c r="H166" i="11"/>
  <c r="E166" i="11"/>
  <c r="F166" i="11" s="1"/>
  <c r="H165" i="11"/>
  <c r="E165" i="11"/>
  <c r="F165" i="11" s="1"/>
  <c r="X164" i="11"/>
  <c r="Q164" i="11" s="1"/>
  <c r="U164" i="11"/>
  <c r="T164" i="11"/>
  <c r="V164" i="11" s="1"/>
  <c r="H164" i="11"/>
  <c r="E164" i="11"/>
  <c r="F164" i="11" s="1"/>
  <c r="H163" i="11"/>
  <c r="E163" i="11"/>
  <c r="F163" i="11" s="1"/>
  <c r="H162" i="11"/>
  <c r="E162" i="11"/>
  <c r="T161" i="11"/>
  <c r="V161" i="11" s="1"/>
  <c r="H161" i="11"/>
  <c r="E161" i="11"/>
  <c r="U161" i="11" s="1"/>
  <c r="H160" i="11"/>
  <c r="E160" i="11"/>
  <c r="F160" i="11" s="1"/>
  <c r="H159" i="11"/>
  <c r="E159" i="11"/>
  <c r="X159" i="11" s="1"/>
  <c r="H158" i="11"/>
  <c r="E158" i="11"/>
  <c r="F158" i="11" s="1"/>
  <c r="T157" i="11"/>
  <c r="H157" i="11"/>
  <c r="E157" i="11"/>
  <c r="F157" i="11" s="1"/>
  <c r="V156" i="11"/>
  <c r="T156" i="11"/>
  <c r="H156" i="11"/>
  <c r="E156" i="11"/>
  <c r="F156" i="11" s="1"/>
  <c r="H155" i="11"/>
  <c r="E155" i="11"/>
  <c r="F155" i="11" s="1"/>
  <c r="H154" i="11"/>
  <c r="E154" i="11"/>
  <c r="X154" i="11" s="1"/>
  <c r="H153" i="11"/>
  <c r="E153" i="11"/>
  <c r="F153" i="11" s="1"/>
  <c r="U152" i="11"/>
  <c r="H152" i="11"/>
  <c r="E152" i="11"/>
  <c r="X152" i="11" s="1"/>
  <c r="H151" i="11"/>
  <c r="E151" i="11"/>
  <c r="X151" i="11" s="1"/>
  <c r="V150" i="11"/>
  <c r="H150" i="11"/>
  <c r="E150" i="11"/>
  <c r="F150" i="11" s="1"/>
  <c r="AD84" i="11"/>
  <c r="AE84" i="11"/>
  <c r="AD82" i="11"/>
  <c r="AE82" i="11"/>
  <c r="AD80" i="11"/>
  <c r="AD83" i="11"/>
  <c r="U159" i="11" l="1"/>
  <c r="X157" i="11"/>
  <c r="U153" i="11"/>
  <c r="U160" i="11"/>
  <c r="U156" i="11"/>
  <c r="W156" i="11" s="1"/>
  <c r="F151" i="11"/>
  <c r="X156" i="11"/>
  <c r="W161" i="11"/>
  <c r="AA161" i="11" s="1"/>
  <c r="U163" i="11"/>
  <c r="X161" i="11"/>
  <c r="J161" i="11" s="1"/>
  <c r="M161" i="11" s="1"/>
  <c r="P164" i="11"/>
  <c r="W164" i="11"/>
  <c r="AA164" i="11" s="1"/>
  <c r="F161" i="11"/>
  <c r="J164" i="11"/>
  <c r="M164" i="11" s="1"/>
  <c r="Y154" i="11"/>
  <c r="Q154" i="11" s="1"/>
  <c r="Y151" i="11"/>
  <c r="M167" i="11"/>
  <c r="P167" i="11"/>
  <c r="W150" i="11"/>
  <c r="Z150" i="11" s="1"/>
  <c r="Z164" i="11"/>
  <c r="AC164" i="11" s="1"/>
  <c r="Q152" i="11"/>
  <c r="P152" i="11"/>
  <c r="Y152" i="11"/>
  <c r="Y156" i="11"/>
  <c r="X160" i="11"/>
  <c r="J152" i="11"/>
  <c r="M152" i="11" s="1"/>
  <c r="X162" i="11"/>
  <c r="X168" i="11"/>
  <c r="U165" i="11"/>
  <c r="U170" i="11"/>
  <c r="T170" i="11"/>
  <c r="T151" i="11"/>
  <c r="V151" i="11" s="1"/>
  <c r="U154" i="11"/>
  <c r="X155" i="11"/>
  <c r="T165" i="11"/>
  <c r="V165" i="11" s="1"/>
  <c r="U166" i="11"/>
  <c r="W166" i="11" s="1"/>
  <c r="T169" i="11"/>
  <c r="V169" i="11" s="1"/>
  <c r="V170" i="11"/>
  <c r="U151" i="11"/>
  <c r="X153" i="11"/>
  <c r="T154" i="11"/>
  <c r="T155" i="11"/>
  <c r="Y159" i="11"/>
  <c r="J159" i="11" s="1"/>
  <c r="M159" i="11" s="1"/>
  <c r="U169" i="11"/>
  <c r="X170" i="11"/>
  <c r="X150" i="11"/>
  <c r="V154" i="11"/>
  <c r="U155" i="11"/>
  <c r="X158" i="11"/>
  <c r="P159" i="11"/>
  <c r="X165" i="11"/>
  <c r="Y167" i="11"/>
  <c r="J151" i="11"/>
  <c r="M151" i="11" s="1"/>
  <c r="T152" i="11"/>
  <c r="V152" i="11" s="1"/>
  <c r="W152" i="11" s="1"/>
  <c r="V155" i="11"/>
  <c r="V157" i="11"/>
  <c r="U157" i="11"/>
  <c r="Y157" i="11" s="1"/>
  <c r="T158" i="11"/>
  <c r="V158" i="11" s="1"/>
  <c r="Y164" i="11"/>
  <c r="V168" i="11"/>
  <c r="W168" i="11" s="1"/>
  <c r="U158" i="11"/>
  <c r="X163" i="11"/>
  <c r="Y169" i="11"/>
  <c r="Q169" i="11" s="1"/>
  <c r="T153" i="11"/>
  <c r="V153" i="11" s="1"/>
  <c r="T160" i="11"/>
  <c r="V160" i="11" s="1"/>
  <c r="U162" i="11"/>
  <c r="T162" i="11"/>
  <c r="V162" i="11" s="1"/>
  <c r="T163" i="11"/>
  <c r="V163" i="11" s="1"/>
  <c r="W163" i="11" s="1"/>
  <c r="Q167" i="11"/>
  <c r="X166" i="11"/>
  <c r="T159" i="11"/>
  <c r="V159" i="11" s="1"/>
  <c r="W159" i="11" s="1"/>
  <c r="AA159" i="11" s="1"/>
  <c r="T167" i="11"/>
  <c r="V167" i="11" s="1"/>
  <c r="W167" i="11" s="1"/>
  <c r="AA167" i="11" s="1"/>
  <c r="H79" i="11"/>
  <c r="W160" i="11" l="1"/>
  <c r="AA160" i="11" s="1"/>
  <c r="W165" i="11"/>
  <c r="Z165" i="11" s="1"/>
  <c r="AC165" i="11" s="1"/>
  <c r="W151" i="11"/>
  <c r="Z161" i="11"/>
  <c r="AC161" i="11" s="1"/>
  <c r="Z156" i="11"/>
  <c r="AB156" i="11" s="1"/>
  <c r="AC156" i="11"/>
  <c r="AA156" i="11"/>
  <c r="W153" i="11"/>
  <c r="AA153" i="11" s="1"/>
  <c r="P161" i="11"/>
  <c r="W155" i="11"/>
  <c r="W154" i="11"/>
  <c r="AA154" i="11" s="1"/>
  <c r="Y161" i="11"/>
  <c r="AB161" i="11" s="1"/>
  <c r="Q161" i="11"/>
  <c r="W162" i="11"/>
  <c r="AA162" i="11" s="1"/>
  <c r="J157" i="11"/>
  <c r="M157" i="11" s="1"/>
  <c r="Q157" i="11"/>
  <c r="P157" i="11"/>
  <c r="AA165" i="11"/>
  <c r="P151" i="11"/>
  <c r="Q151" i="11"/>
  <c r="W170" i="11"/>
  <c r="AA170" i="11" s="1"/>
  <c r="P156" i="11"/>
  <c r="J156" i="11"/>
  <c r="M156" i="11" s="1"/>
  <c r="J169" i="11"/>
  <c r="M169" i="11" s="1"/>
  <c r="J154" i="11"/>
  <c r="M154" i="11" s="1"/>
  <c r="W169" i="11"/>
  <c r="Z169" i="11" s="1"/>
  <c r="AB169" i="11" s="1"/>
  <c r="Q156" i="11"/>
  <c r="Q159" i="11"/>
  <c r="P169" i="11"/>
  <c r="P154" i="11"/>
  <c r="AA155" i="11"/>
  <c r="Z155" i="11"/>
  <c r="AA152" i="11"/>
  <c r="Z152" i="11"/>
  <c r="AB152" i="11" s="1"/>
  <c r="Z166" i="11"/>
  <c r="AC166" i="11" s="1"/>
  <c r="AA166" i="11"/>
  <c r="Z163" i="11"/>
  <c r="AC163" i="11" s="1"/>
  <c r="AA163" i="11"/>
  <c r="AA151" i="11"/>
  <c r="Z151" i="11"/>
  <c r="AB151" i="11" s="1"/>
  <c r="AC151" i="11"/>
  <c r="Q153" i="11"/>
  <c r="P153" i="11"/>
  <c r="Y153" i="11"/>
  <c r="J153" i="11" s="1"/>
  <c r="M153" i="11" s="1"/>
  <c r="Y166" i="11"/>
  <c r="P166" i="11"/>
  <c r="Q166" i="11"/>
  <c r="J166" i="11"/>
  <c r="M166" i="11" s="1"/>
  <c r="W158" i="11"/>
  <c r="Y158" i="11"/>
  <c r="P158" i="11" s="1"/>
  <c r="Y150" i="11"/>
  <c r="AB150" i="11" s="1"/>
  <c r="J150" i="11"/>
  <c r="M150" i="11" s="1"/>
  <c r="P170" i="11"/>
  <c r="Q170" i="11"/>
  <c r="J170" i="11"/>
  <c r="M170" i="11" s="1"/>
  <c r="Y170" i="11"/>
  <c r="AA150" i="11"/>
  <c r="AC150" i="11"/>
  <c r="Y168" i="11"/>
  <c r="P168" i="11"/>
  <c r="J168" i="11"/>
  <c r="M168" i="11" s="1"/>
  <c r="Q168" i="11"/>
  <c r="Z167" i="11"/>
  <c r="AB167" i="11" s="1"/>
  <c r="AA168" i="11"/>
  <c r="Z168" i="11"/>
  <c r="AC168" i="11" s="1"/>
  <c r="J165" i="11"/>
  <c r="M165" i="11" s="1"/>
  <c r="P165" i="11"/>
  <c r="Y165" i="11"/>
  <c r="Q165" i="11"/>
  <c r="Q163" i="11"/>
  <c r="P163" i="11"/>
  <c r="J163" i="11"/>
  <c r="M163" i="11" s="1"/>
  <c r="Y163" i="11"/>
  <c r="W157" i="11"/>
  <c r="Y160" i="11"/>
  <c r="J155" i="11"/>
  <c r="M155" i="11" s="1"/>
  <c r="Y155" i="11"/>
  <c r="Q155" i="11"/>
  <c r="P155" i="11"/>
  <c r="Y162" i="11"/>
  <c r="J162" i="11"/>
  <c r="M162" i="11" s="1"/>
  <c r="Z159" i="11"/>
  <c r="AC159" i="11" s="1"/>
  <c r="AB164" i="11"/>
  <c r="Z162" i="11"/>
  <c r="AC162" i="11" s="1"/>
  <c r="E80" i="11"/>
  <c r="E81" i="11"/>
  <c r="F81" i="11" s="1"/>
  <c r="E82" i="11"/>
  <c r="F82" i="11" s="1"/>
  <c r="E83" i="11"/>
  <c r="F83" i="11" s="1"/>
  <c r="E84" i="11"/>
  <c r="F84" i="11" s="1"/>
  <c r="E85" i="11"/>
  <c r="F85" i="11" s="1"/>
  <c r="E86" i="11"/>
  <c r="F86" i="11" s="1"/>
  <c r="E87" i="11"/>
  <c r="F87" i="11" s="1"/>
  <c r="E88" i="11"/>
  <c r="F88" i="11" s="1"/>
  <c r="E89" i="11"/>
  <c r="F89" i="11" s="1"/>
  <c r="E90" i="11"/>
  <c r="F90" i="11" s="1"/>
  <c r="E91" i="11"/>
  <c r="F91" i="11" s="1"/>
  <c r="E92" i="11"/>
  <c r="F92" i="11" s="1"/>
  <c r="E93" i="11"/>
  <c r="F93" i="11" s="1"/>
  <c r="E94" i="11"/>
  <c r="F94" i="11" s="1"/>
  <c r="E95" i="11"/>
  <c r="F95" i="11" s="1"/>
  <c r="E96" i="11"/>
  <c r="F96" i="11" s="1"/>
  <c r="E97" i="11"/>
  <c r="F97" i="11" s="1"/>
  <c r="E98" i="11"/>
  <c r="F98" i="11" s="1"/>
  <c r="E99" i="11"/>
  <c r="F99" i="11" s="1"/>
  <c r="E79" i="11"/>
  <c r="AD156" i="11"/>
  <c r="AE156" i="11"/>
  <c r="AD161" i="11"/>
  <c r="AD164" i="11"/>
  <c r="AD151" i="11"/>
  <c r="AE150" i="11"/>
  <c r="AE151" i="11"/>
  <c r="AD150" i="11"/>
  <c r="F80" i="11" l="1"/>
  <c r="F79" i="11"/>
  <c r="Z160" i="11"/>
  <c r="AC160" i="11" s="1"/>
  <c r="AB159" i="11"/>
  <c r="AC155" i="11"/>
  <c r="L156" i="11"/>
  <c r="AB165" i="11"/>
  <c r="Z153" i="11"/>
  <c r="AB153" i="11" s="1"/>
  <c r="AB162" i="11"/>
  <c r="Z154" i="11"/>
  <c r="P162" i="11"/>
  <c r="Q162" i="11"/>
  <c r="AA169" i="11"/>
  <c r="J158" i="11"/>
  <c r="M158" i="11" s="1"/>
  <c r="AB166" i="11"/>
  <c r="Z170" i="11"/>
  <c r="AC170" i="11" s="1"/>
  <c r="Q160" i="11"/>
  <c r="J160" i="11"/>
  <c r="M160" i="11" s="1"/>
  <c r="AB155" i="11"/>
  <c r="AB163" i="11"/>
  <c r="Q158" i="11"/>
  <c r="P160" i="11"/>
  <c r="P150" i="11"/>
  <c r="Q150" i="11"/>
  <c r="L150" i="11"/>
  <c r="L151" i="11"/>
  <c r="L164" i="11"/>
  <c r="L161" i="11"/>
  <c r="AC169" i="11"/>
  <c r="AC167" i="11"/>
  <c r="AB168" i="11"/>
  <c r="AA157" i="11"/>
  <c r="Z157" i="11"/>
  <c r="AB157" i="11" s="1"/>
  <c r="AA158" i="11"/>
  <c r="Z158" i="11"/>
  <c r="AB158" i="11" s="1"/>
  <c r="AC158" i="11"/>
  <c r="AC152" i="11"/>
  <c r="AE159" i="11"/>
  <c r="AD159" i="11"/>
  <c r="AD165" i="11"/>
  <c r="AE162" i="11"/>
  <c r="AD162" i="11"/>
  <c r="AD155" i="11"/>
  <c r="AE155" i="11"/>
  <c r="AE163" i="11"/>
  <c r="AD163" i="11"/>
  <c r="AE166" i="11"/>
  <c r="AD166" i="11"/>
  <c r="AD158" i="11"/>
  <c r="AD168" i="11"/>
  <c r="AE164" i="11"/>
  <c r="AE161" i="11"/>
  <c r="AE152" i="11"/>
  <c r="AD152" i="11"/>
  <c r="AE158" i="11"/>
  <c r="AD169" i="11"/>
  <c r="AE169" i="11"/>
  <c r="AD157" i="11"/>
  <c r="AE167" i="11"/>
  <c r="AD167" i="11"/>
  <c r="AE157" i="11"/>
  <c r="AE165" i="11"/>
  <c r="L159" i="11" l="1"/>
  <c r="AB160" i="11"/>
  <c r="AC157" i="11"/>
  <c r="L162" i="11"/>
  <c r="L165" i="11"/>
  <c r="AB154" i="11"/>
  <c r="AC154" i="11"/>
  <c r="AC153" i="11"/>
  <c r="L166" i="11"/>
  <c r="L163" i="11"/>
  <c r="L155" i="11"/>
  <c r="AB170" i="11"/>
  <c r="L167" i="11"/>
  <c r="L157" i="11"/>
  <c r="L169" i="11"/>
  <c r="L152" i="11"/>
  <c r="L168" i="11"/>
  <c r="L158" i="11"/>
  <c r="H80" i="11"/>
  <c r="H81" i="11"/>
  <c r="H82" i="11"/>
  <c r="H83" i="11"/>
  <c r="H84" i="11"/>
  <c r="H85" i="11"/>
  <c r="H86" i="11"/>
  <c r="H87" i="11"/>
  <c r="H88" i="11"/>
  <c r="H89" i="11"/>
  <c r="H90" i="11"/>
  <c r="H91" i="11"/>
  <c r="H92" i="11"/>
  <c r="H93" i="11"/>
  <c r="H94" i="11"/>
  <c r="H95" i="11"/>
  <c r="H96" i="11"/>
  <c r="H97" i="11"/>
  <c r="H98" i="11"/>
  <c r="H99" i="11"/>
  <c r="AD160" i="11"/>
  <c r="AE160" i="11"/>
  <c r="AE154" i="11"/>
  <c r="AD154" i="11"/>
  <c r="AD153" i="11"/>
  <c r="AD170" i="11"/>
  <c r="AE170" i="11"/>
  <c r="AE153" i="11"/>
  <c r="AE168" i="11"/>
  <c r="L160" i="11" l="1"/>
  <c r="L153" i="11"/>
  <c r="L154" i="11"/>
  <c r="L170" i="11"/>
  <c r="U95" i="11"/>
  <c r="V95" i="11"/>
  <c r="V94" i="11"/>
  <c r="U94" i="11"/>
  <c r="U86" i="11"/>
  <c r="V86" i="11"/>
  <c r="U93" i="11"/>
  <c r="V93" i="11"/>
  <c r="U87" i="11"/>
  <c r="V87" i="11"/>
  <c r="V92" i="11"/>
  <c r="U92" i="11"/>
  <c r="V99" i="11"/>
  <c r="U99" i="11"/>
  <c r="V91" i="11"/>
  <c r="U91" i="11"/>
  <c r="U98" i="11"/>
  <c r="V98" i="11"/>
  <c r="U90" i="11"/>
  <c r="V90" i="11"/>
  <c r="U97" i="11"/>
  <c r="V97" i="11"/>
  <c r="V89" i="11"/>
  <c r="U89" i="11"/>
  <c r="U96" i="11"/>
  <c r="V96" i="11"/>
  <c r="U88" i="11"/>
  <c r="V88" i="11"/>
  <c r="W97" i="11" l="1"/>
  <c r="AA97" i="11" s="1"/>
  <c r="W93" i="11"/>
  <c r="Z93" i="11" s="1"/>
  <c r="AC93" i="11" s="1"/>
  <c r="W96" i="11"/>
  <c r="Z96" i="11" s="1"/>
  <c r="AC96" i="11" s="1"/>
  <c r="W92" i="11"/>
  <c r="Z92" i="11" s="1"/>
  <c r="AC92" i="11" s="1"/>
  <c r="W91" i="11"/>
  <c r="AA91" i="11" s="1"/>
  <c r="W90" i="11"/>
  <c r="Z90" i="11" s="1"/>
  <c r="AC90" i="11" s="1"/>
  <c r="W87" i="11"/>
  <c r="Z87" i="11" s="1"/>
  <c r="AC87" i="11" s="1"/>
  <c r="W98" i="11"/>
  <c r="Z98" i="11" s="1"/>
  <c r="W99" i="11"/>
  <c r="Z99" i="11" s="1"/>
  <c r="AC99" i="11" s="1"/>
  <c r="W95" i="11"/>
  <c r="Z95" i="11" s="1"/>
  <c r="AC95" i="11" s="1"/>
  <c r="W88" i="11"/>
  <c r="AA88" i="11" s="1"/>
  <c r="W89" i="11"/>
  <c r="Z89" i="11" s="1"/>
  <c r="AC89" i="11" s="1"/>
  <c r="W86" i="11"/>
  <c r="Z86" i="11" s="1"/>
  <c r="AC86" i="11" s="1"/>
  <c r="W94" i="11"/>
  <c r="Z94" i="11" s="1"/>
  <c r="C32" i="9"/>
  <c r="Z97" i="11" l="1"/>
  <c r="AC97" i="11" s="1"/>
  <c r="AC98" i="11"/>
  <c r="AA98" i="11"/>
  <c r="AA96" i="11"/>
  <c r="AA95" i="11"/>
  <c r="AA93" i="11"/>
  <c r="AA90" i="11"/>
  <c r="AA89" i="11"/>
  <c r="AA87" i="11"/>
  <c r="Z91" i="11"/>
  <c r="AC91" i="11" s="1"/>
  <c r="AA99" i="11"/>
  <c r="AA92" i="11"/>
  <c r="Z88" i="11"/>
  <c r="AC88" i="11" s="1"/>
  <c r="AA86" i="11"/>
  <c r="AA94" i="11"/>
  <c r="AC94" i="11"/>
  <c r="Y92" i="11" l="1"/>
  <c r="Y93" i="11"/>
  <c r="Y86" i="11"/>
  <c r="Y90" i="11"/>
  <c r="Y94" i="11"/>
  <c r="Y98" i="11"/>
  <c r="Y88" i="11"/>
  <c r="Y96" i="11"/>
  <c r="Y89" i="11"/>
  <c r="Y97" i="11"/>
  <c r="Y87" i="11"/>
  <c r="Y91" i="11"/>
  <c r="Y95" i="11"/>
  <c r="Y99" i="1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P96" i="11" l="1"/>
  <c r="Q96" i="11"/>
  <c r="P92" i="11"/>
  <c r="Q92" i="11"/>
  <c r="Q87" i="11"/>
  <c r="P87" i="11"/>
  <c r="P98" i="11"/>
  <c r="Q98" i="11"/>
  <c r="P94" i="11"/>
  <c r="Q94" i="11"/>
  <c r="P97" i="11"/>
  <c r="Q97" i="11"/>
  <c r="P89" i="11"/>
  <c r="Q89" i="11"/>
  <c r="Q86" i="11"/>
  <c r="P86" i="11"/>
  <c r="Q85" i="11"/>
  <c r="P85" i="11"/>
  <c r="P88" i="11"/>
  <c r="Q88" i="11"/>
  <c r="Q83" i="11"/>
  <c r="P83" i="11"/>
  <c r="Q82" i="11"/>
  <c r="P82" i="11"/>
  <c r="Q90" i="11"/>
  <c r="P90" i="11"/>
  <c r="Q99" i="11"/>
  <c r="P99" i="11"/>
  <c r="P81" i="11"/>
  <c r="Q81" i="11"/>
  <c r="Q93" i="11"/>
  <c r="P93" i="11"/>
  <c r="Q91" i="11"/>
  <c r="P91" i="11"/>
  <c r="P95" i="11"/>
  <c r="Q95" i="11"/>
  <c r="P84" i="11"/>
  <c r="Q84" i="11"/>
  <c r="P80" i="11"/>
  <c r="Q80" i="11"/>
  <c r="AB96" i="11"/>
  <c r="J96" i="11"/>
  <c r="M96" i="11" s="1"/>
  <c r="AB91" i="11"/>
  <c r="J91" i="11"/>
  <c r="M91" i="11" s="1"/>
  <c r="AB88" i="11"/>
  <c r="J88" i="11"/>
  <c r="M88" i="11" s="1"/>
  <c r="J85" i="11"/>
  <c r="M85" i="11" s="1"/>
  <c r="AB98" i="11"/>
  <c r="J98" i="11"/>
  <c r="M98" i="11" s="1"/>
  <c r="AB97" i="11"/>
  <c r="J97" i="11"/>
  <c r="M97" i="11" s="1"/>
  <c r="AB90" i="11"/>
  <c r="J90" i="11"/>
  <c r="M90" i="11" s="1"/>
  <c r="AB99" i="11"/>
  <c r="J99" i="11"/>
  <c r="M99" i="11" s="1"/>
  <c r="AB86" i="11"/>
  <c r="J86" i="11"/>
  <c r="M86" i="11" s="1"/>
  <c r="AB95" i="11"/>
  <c r="J95" i="11"/>
  <c r="M95" i="11" s="1"/>
  <c r="AB93" i="11"/>
  <c r="J93" i="11"/>
  <c r="M93" i="11" s="1"/>
  <c r="AB87" i="11"/>
  <c r="J87" i="11"/>
  <c r="M87" i="11" s="1"/>
  <c r="J80" i="11"/>
  <c r="M80" i="11" s="1"/>
  <c r="AB92" i="11"/>
  <c r="J92" i="11"/>
  <c r="M92" i="11" s="1"/>
  <c r="J82" i="11"/>
  <c r="M82" i="11" s="1"/>
  <c r="AB94" i="11"/>
  <c r="J94" i="11"/>
  <c r="M94" i="11" s="1"/>
  <c r="AB89" i="11"/>
  <c r="J89" i="11"/>
  <c r="M89" i="11" s="1"/>
  <c r="J81" i="11"/>
  <c r="M81" i="11" s="1"/>
  <c r="J83" i="11"/>
  <c r="M83" i="11" s="1"/>
  <c r="J84" i="11"/>
  <c r="M84" i="11" s="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D96" i="11"/>
  <c r="AD98" i="11"/>
  <c r="AD86" i="11"/>
  <c r="AD89" i="11"/>
  <c r="AD91" i="11"/>
  <c r="AD97" i="11"/>
  <c r="AD95" i="11"/>
  <c r="AD92" i="11"/>
  <c r="AD88" i="11"/>
  <c r="AD90" i="11"/>
  <c r="AD87" i="11"/>
  <c r="AD93" i="11"/>
  <c r="AD99" i="11"/>
  <c r="AD94" i="11"/>
  <c r="AE92" i="11"/>
  <c r="AE97" i="11"/>
  <c r="AE89" i="11"/>
  <c r="AE96" i="11"/>
  <c r="AE95" i="11"/>
  <c r="AE99" i="11"/>
  <c r="AE94" i="11"/>
  <c r="AE93" i="11"/>
  <c r="AE86" i="11"/>
  <c r="AE87" i="11"/>
  <c r="AE91" i="11"/>
  <c r="AE98" i="11"/>
  <c r="AE88" i="11"/>
  <c r="AE90" i="11"/>
  <c r="L94" i="11" l="1"/>
  <c r="L99" i="11"/>
  <c r="L93" i="11"/>
  <c r="L84" i="11"/>
  <c r="L87" i="11"/>
  <c r="L85" i="11"/>
  <c r="L83" i="11"/>
  <c r="L82" i="11"/>
  <c r="L90" i="11"/>
  <c r="L88" i="11"/>
  <c r="L81" i="11"/>
  <c r="L92" i="11"/>
  <c r="L95" i="11"/>
  <c r="L97" i="11"/>
  <c r="L91" i="11"/>
  <c r="L89" i="11"/>
  <c r="L80" i="11"/>
  <c r="L86" i="11"/>
  <c r="L98" i="11"/>
  <c r="L96" i="11"/>
  <c r="K3" i="10"/>
  <c r="K4" i="10" s="1"/>
  <c r="J6" i="10"/>
  <c r="J7" i="10" s="1"/>
  <c r="J3" i="10"/>
  <c r="J4" i="10" s="1"/>
  <c r="I3" i="10"/>
  <c r="I5" i="10" s="1"/>
  <c r="I4" i="10" l="1"/>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 r="Q79" i="11" l="1"/>
  <c r="P79" i="11"/>
  <c r="J79" i="11"/>
  <c r="M79" i="11" s="1"/>
  <c r="L79" i="11" l="1"/>
</calcChain>
</file>

<file path=xl/sharedStrings.xml><?xml version="1.0" encoding="utf-8"?>
<sst xmlns="http://schemas.openxmlformats.org/spreadsheetml/2006/main" count="10495" uniqueCount="2682">
  <si>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</si>
  <si>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</si>
  <si>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</si>
  <si>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</si>
  <si>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</si>
  <si>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</si>
  <si>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</si>
  <si>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</si>
  <si>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</si>
  <si>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</si>
  <si>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</si>
  <si>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</si>
  <si>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</si>
  <si>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</si>
  <si>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</si>
  <si>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</si>
  <si>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</si>
  <si>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</si>
  <si>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</si>
  <si>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</si>
  <si>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</si>
  <si>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</si>
  <si>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</si>
  <si>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</si>
  <si>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</si>
  <si>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</si>
  <si>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</si>
  <si>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</si>
  <si>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</si>
  <si>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</si>
  <si>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</si>
  <si>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</si>
  <si>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</si>
  <si>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</si>
  <si>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</si>
  <si>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</si>
  <si>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</si>
  <si>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</si>
  <si>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</si>
  <si>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</si>
  <si>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</si>
  <si>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</si>
  <si>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</si>
  <si>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</si>
  <si>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</si>
  <si>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</si>
  <si>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</si>
  <si>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</si>
  <si>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</si>
  <si>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</si>
  <si>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</si>
  <si>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</si>
  <si>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</si>
  <si>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</si>
  <si>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</si>
  <si>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</si>
  <si>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</si>
  <si>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</si>
  <si>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</si>
  <si>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</si>
  <si>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</si>
  <si>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</si>
  <si>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</si>
  <si>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</si>
  <si>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</si>
  <si>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</si>
  <si>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</si>
  <si>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</si>
  <si>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</si>
  <si>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</si>
  <si>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</si>
  <si>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</si>
  <si>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</si>
  <si>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</si>
  <si>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</si>
  <si>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</si>
  <si>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</si>
  <si>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</si>
  <si>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</si>
  <si>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</si>
  <si>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</si>
  <si>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</si>
  <si>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</si>
  <si>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</si>
  <si>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</si>
  <si>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</si>
  <si>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</si>
  <si>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</si>
  <si>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</si>
  <si>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</si>
  <si>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</si>
  <si>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</si>
  <si>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</si>
  <si>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</si>
  <si>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</si>
  <si>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</si>
  <si>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</si>
  <si>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</si>
  <si>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</si>
  <si>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</si>
  <si>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</si>
  <si>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</si>
  <si>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</si>
  <si>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</si>
  <si>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</si>
  <si>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</si>
  <si>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</si>
  <si>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</si>
  <si>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</si>
  <si>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</si>
  <si>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</si>
  <si>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</si>
  <si>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</si>
  <si>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</si>
  <si>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</si>
  <si>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</si>
  <si>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</si>
  <si>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</si>
  <si>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</si>
  <si>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</si>
  <si>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</si>
  <si>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</si>
  <si>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</si>
  <si>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</si>
  <si>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</si>
  <si>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</si>
  <si>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</si>
  <si>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</si>
  <si>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</si>
  <si>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</si>
  <si>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</si>
  <si>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</si>
  <si>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</si>
  <si>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</si>
  <si>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</si>
  <si>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</si>
  <si>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</si>
  <si>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</si>
  <si>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</si>
  <si>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</si>
  <si>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</si>
  <si>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</si>
  <si>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</si>
  <si>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</si>
  <si>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</si>
  <si>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</si>
  <si>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</si>
  <si>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</si>
  <si>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</si>
  <si>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</si>
  <si>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</si>
  <si>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</si>
  <si>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</si>
  <si>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</si>
  <si>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</si>
  <si>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</si>
  <si>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</si>
  <si>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</si>
  <si>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</si>
  <si>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</si>
  <si>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</si>
  <si>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</si>
  <si>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</si>
  <si>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</si>
  <si>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</si>
  <si>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</si>
  <si>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</si>
  <si>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</si>
  <si>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</si>
  <si>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</si>
  <si>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</si>
  <si>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</si>
  <si>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</si>
  <si>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</si>
  <si>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</si>
  <si>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</si>
  <si>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</si>
  <si>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</si>
  <si>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</si>
  <si>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</si>
  <si>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</si>
  <si>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</si>
  <si>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</si>
  <si>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</si>
  <si>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</si>
  <si>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</si>
  <si>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</si>
  <si>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</si>
  <si>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</si>
  <si>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</si>
  <si>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</si>
  <si>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</si>
  <si>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</si>
  <si>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</si>
  <si>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</si>
  <si>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</si>
  <si>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</si>
  <si>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</si>
  <si>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</si>
  <si>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</si>
  <si>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</si>
  <si>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</si>
  <si>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</si>
  <si>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</si>
  <si>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</si>
  <si>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</si>
  <si>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</si>
  <si>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</si>
  <si>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</si>
  <si>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</si>
  <si>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</si>
  <si>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</si>
  <si>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</si>
  <si>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</si>
  <si>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</si>
  <si>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</si>
  <si>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</si>
  <si>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</si>
  <si>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</si>
  <si>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</si>
  <si>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</si>
  <si>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</si>
  <si>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</si>
  <si>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</si>
  <si>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</si>
  <si>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</si>
  <si>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</si>
  <si>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</si>
  <si>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</si>
  <si>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</si>
  <si>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</si>
  <si>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</si>
  <si>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</si>
  <si>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</si>
  <si>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</si>
  <si>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</si>
  <si>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</si>
  <si>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</si>
  <si>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</si>
  <si>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</si>
  <si>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</si>
  <si>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</si>
  <si>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</si>
  <si>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</si>
  <si>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</si>
  <si>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</si>
  <si>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</si>
  <si>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</si>
  <si>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</si>
  <si>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</si>
  <si>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</si>
  <si>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</si>
  <si>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</si>
  <si>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</si>
  <si>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</si>
  <si>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</si>
  <si>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</si>
  <si>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</si>
  <si>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</si>
  <si>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</si>
  <si>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</si>
  <si>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</si>
  <si>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</si>
  <si>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</si>
  <si>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</si>
  <si>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</si>
  <si>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</si>
  <si>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</si>
  <si>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</si>
  <si>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</si>
  <si>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</si>
  <si>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</si>
  <si>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</si>
  <si>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</si>
  <si>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</si>
  <si>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</si>
  <si>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</si>
  <si>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</si>
  <si>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</si>
  <si>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</si>
  <si>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</si>
  <si>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</si>
  <si>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</si>
  <si>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</si>
  <si>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</si>
  <si>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</si>
  <si>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</si>
  <si>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</si>
  <si>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</si>
  <si>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</si>
  <si>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</si>
  <si>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</si>
  <si>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</si>
  <si>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</si>
  <si>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</si>
  <si>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</si>
  <si>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</si>
  <si>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</si>
  <si>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</si>
  <si>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</si>
  <si>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</si>
  <si>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</si>
  <si>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</si>
  <si>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</si>
  <si>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</si>
  <si>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</si>
  <si>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</si>
  <si>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</si>
  <si>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</si>
  <si>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</si>
  <si>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</si>
  <si>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</si>
  <si>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</si>
  <si>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</si>
  <si>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</si>
  <si>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</si>
  <si>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</si>
  <si>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</si>
  <si>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</si>
  <si>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</si>
  <si>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</si>
  <si>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</si>
  <si>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</si>
  <si>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</si>
  <si>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</si>
  <si>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</si>
  <si>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</si>
  <si>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</si>
  <si>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</si>
  <si>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</si>
  <si>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</si>
  <si>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</si>
  <si>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</si>
  <si>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</si>
  <si>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</si>
  <si>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</si>
  <si>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</si>
  <si>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</si>
  <si>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</si>
  <si>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</si>
  <si>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</si>
  <si>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</si>
  <si>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</si>
  <si>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</si>
  <si>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</si>
  <si>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</si>
  <si>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</si>
  <si>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</si>
  <si>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</si>
  <si>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</si>
  <si>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</si>
  <si>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</si>
  <si>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</si>
  <si>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</si>
  <si>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</si>
  <si>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</si>
  <si>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</si>
  <si>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</si>
  <si>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</si>
  <si>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</si>
  <si>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</si>
  <si>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</si>
  <si>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</si>
  <si>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</si>
  <si>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</si>
  <si>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</si>
  <si>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</si>
  <si>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</si>
  <si>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</si>
  <si>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</si>
  <si>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</si>
  <si>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</si>
  <si>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</si>
  <si>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</si>
  <si>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</si>
  <si>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</si>
  <si>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</si>
  <si>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</si>
  <si>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</si>
  <si>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</si>
  <si>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</si>
  <si>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</si>
  <si>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</si>
  <si>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</si>
  <si>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</si>
  <si>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</si>
  <si>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</si>
  <si>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</si>
  <si>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</si>
  <si>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</si>
  <si>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</si>
  <si>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</si>
  <si>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</si>
  <si>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</si>
  <si>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</si>
  <si>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</si>
  <si>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</si>
  <si>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</si>
  <si>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</si>
  <si>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</si>
  <si>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</si>
  <si>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</si>
  <si>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</si>
  <si>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</si>
  <si>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</si>
  <si>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</si>
  <si>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</si>
  <si>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</si>
  <si>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</si>
  <si>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</si>
  <si>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</si>
  <si>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</si>
  <si>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</si>
  <si>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</si>
  <si>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</si>
  <si>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</si>
  <si>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</si>
  <si>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</si>
  <si>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</si>
  <si>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</si>
  <si>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</si>
  <si>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</si>
  <si>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</si>
  <si>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</si>
  <si>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</si>
  <si>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</si>
  <si>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</si>
  <si>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</si>
  <si>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</si>
  <si>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</si>
  <si>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</si>
  <si>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</si>
  <si>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</si>
  <si>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</si>
  <si>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</si>
  <si>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</si>
  <si>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</si>
  <si>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</si>
  <si>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</si>
  <si>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</si>
  <si>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</si>
  <si>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</si>
  <si>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</si>
  <si>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</si>
  <si>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</si>
  <si>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</si>
  <si>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</si>
  <si>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</si>
  <si>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</si>
  <si>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</si>
  <si>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</si>
  <si>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</si>
  <si>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</si>
  <si>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</si>
  <si>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</si>
  <si>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</si>
  <si>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</si>
  <si>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</si>
  <si>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</si>
  <si>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</si>
  <si>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</si>
  <si>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</si>
  <si>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</si>
  <si>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</si>
  <si>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</si>
  <si>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</si>
  <si>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</si>
  <si>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</si>
  <si>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</si>
  <si>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</si>
  <si>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</si>
  <si>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</si>
  <si>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</si>
  <si>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</si>
  <si>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</si>
  <si>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</si>
  <si>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</si>
  <si>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</si>
  <si>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</si>
  <si>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</si>
  <si>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</si>
  <si>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</si>
  <si>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</si>
  <si>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</si>
  <si>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</si>
  <si>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</si>
  <si>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</si>
  <si>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</si>
  <si>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</si>
  <si>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</si>
  <si>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</si>
  <si>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</si>
  <si>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</si>
  <si>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</si>
  <si>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</si>
  <si>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</si>
  <si>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</si>
  <si>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</si>
  <si>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</si>
  <si>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</si>
  <si>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</si>
  <si>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</si>
  <si>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</si>
  <si>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</si>
  <si>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</si>
  <si>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</si>
  <si>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</si>
  <si>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</si>
  <si>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</si>
  <si>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</si>
  <si>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</si>
  <si>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</si>
  <si>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</si>
  <si>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</si>
  <si>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</si>
  <si>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</si>
  <si>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</si>
  <si>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</si>
  <si>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</si>
  <si>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</si>
  <si>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</si>
  <si>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</si>
  <si>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</si>
  <si>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</si>
  <si>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</si>
  <si>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</si>
  <si>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</si>
  <si>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</si>
  <si>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</si>
  <si>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</si>
  <si>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</si>
  <si>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</si>
  <si>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</si>
  <si>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</si>
  <si>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</si>
  <si>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</si>
  <si>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</si>
  <si>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</si>
  <si>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</si>
  <si>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</si>
  <si>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</si>
  <si>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</si>
  <si>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</si>
  <si>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</si>
  <si>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</si>
  <si>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</si>
  <si>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</si>
  <si>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</si>
  <si>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</si>
  <si>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</si>
  <si>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</si>
  <si>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</si>
  <si>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</si>
  <si>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</si>
  <si>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</si>
  <si>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</si>
  <si>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</si>
  <si>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</si>
  <si>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</si>
  <si>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</si>
  <si>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</si>
  <si>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</si>
  <si>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</si>
  <si>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</si>
  <si>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</si>
  <si>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</si>
  <si>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</si>
  <si>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</si>
  <si>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</si>
  <si>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</si>
  <si>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</si>
  <si>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</si>
  <si>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</si>
  <si>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</si>
  <si>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</si>
  <si>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</si>
  <si>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</si>
  <si>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</si>
  <si>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</si>
  <si>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</si>
  <si>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</si>
  <si>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</si>
  <si>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</si>
  <si>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</si>
  <si>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</si>
  <si>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</si>
  <si>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</si>
  <si>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</si>
  <si>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</si>
  <si>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</si>
  <si>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</si>
  <si>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</si>
  <si>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</si>
  <si>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</si>
  <si>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</si>
  <si>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</si>
  <si>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</si>
  <si>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</si>
  <si>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</si>
  <si>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</si>
  <si>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</si>
  <si>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</si>
  <si>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</si>
  <si>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</si>
  <si>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</si>
  <si>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</si>
  <si>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</si>
  <si>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</si>
  <si>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</si>
  <si>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</si>
  <si>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</si>
  <si>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</si>
  <si>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</si>
  <si>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</si>
  <si>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</si>
  <si>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</si>
  <si>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</si>
  <si>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</si>
  <si>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</si>
  <si>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</si>
  <si>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</si>
  <si>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</si>
  <si>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</si>
  <si>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</si>
  <si>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</si>
  <si>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</si>
  <si>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</si>
  <si>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</si>
  <si>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</si>
  <si>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</si>
  <si>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</si>
  <si>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</si>
  <si>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</si>
  <si>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</si>
  <si>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</si>
  <si>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</si>
  <si>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</si>
  <si>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</si>
  <si>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</si>
  <si>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</si>
  <si>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</si>
  <si>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</si>
  <si>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</si>
  <si>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</si>
  <si>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</si>
  <si>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</si>
  <si>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</si>
  <si>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</si>
  <si>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</si>
  <si>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</si>
  <si>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</si>
  <si>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</si>
  <si>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</si>
  <si>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</si>
  <si>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</si>
  <si>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</si>
  <si>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</si>
  <si>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</si>
  <si>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</si>
  <si>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</si>
  <si>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</si>
  <si>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</si>
  <si>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</si>
  <si>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</si>
  <si>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</si>
  <si>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</si>
  <si>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</si>
  <si>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</si>
  <si>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</si>
  <si>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</si>
  <si>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</si>
  <si>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</si>
  <si>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</si>
  <si>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</si>
  <si>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</si>
  <si>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</si>
  <si>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</si>
  <si>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</si>
  <si>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</si>
  <si>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</si>
  <si>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</si>
  <si>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</si>
  <si>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</si>
  <si>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</si>
  <si>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</si>
  <si>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</si>
  <si>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</si>
  <si>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</si>
  <si>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</si>
  <si>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</si>
  <si>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</si>
  <si>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</si>
  <si>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</si>
  <si>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</si>
  <si>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</si>
  <si>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</si>
  <si>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</si>
  <si>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</si>
  <si>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</si>
  <si>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</si>
  <si>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</si>
  <si>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</si>
  <si>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</si>
  <si>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</si>
  <si>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</si>
  <si>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</si>
  <si>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</si>
  <si>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</si>
  <si>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</si>
  <si>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</si>
  <si>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</si>
  <si>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</si>
  <si>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</si>
  <si>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</si>
  <si>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</si>
  <si>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</si>
  <si>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</si>
  <si>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</si>
  <si>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</si>
  <si>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</si>
  <si>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</si>
  <si>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</si>
  <si>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</si>
  <si>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</si>
  <si>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</si>
  <si>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</si>
  <si>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</si>
  <si>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</si>
  <si>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</si>
  <si>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</si>
  <si>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</si>
  <si>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</si>
  <si>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</si>
  <si>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</si>
  <si>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</si>
  <si>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</si>
  <si>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</si>
  <si>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</si>
  <si>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</si>
  <si>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</si>
  <si>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</si>
  <si>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</si>
  <si>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</si>
  <si>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</si>
  <si>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</si>
  <si>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</si>
  <si>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</si>
  <si>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</si>
  <si>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</si>
  <si>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</si>
  <si>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</si>
  <si>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</si>
  <si>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</si>
  <si>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</si>
  <si>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</si>
  <si>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</si>
  <si>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</si>
  <si>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</si>
  <si>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</si>
  <si>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</si>
  <si>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</si>
  <si>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</si>
  <si>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</si>
  <si>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</si>
  <si>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</si>
  <si>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</si>
  <si>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</si>
  <si>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</si>
  <si>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</si>
  <si>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</si>
  <si>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</si>
  <si>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</si>
  <si>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</si>
  <si>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</si>
  <si>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</si>
  <si>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</si>
  <si>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</si>
  <si>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</si>
  <si>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</si>
  <si>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</si>
  <si>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</si>
  <si>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</si>
  <si>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</si>
  <si>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</si>
  <si>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</si>
  <si>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</si>
  <si>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</si>
  <si>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</si>
  <si>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</si>
  <si>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</si>
  <si>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</si>
  <si>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</si>
  <si>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</si>
  <si>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</si>
  <si>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</si>
  <si>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</si>
  <si>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</si>
  <si>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</si>
  <si>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</si>
  <si>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</si>
  <si>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</si>
  <si>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</si>
  <si>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</si>
  <si>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</si>
  <si>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</si>
  <si>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</si>
  <si>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</si>
  <si>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</si>
  <si>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</si>
  <si>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</si>
  <si>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</si>
  <si>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</si>
  <si>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</si>
  <si>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</si>
  <si>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</si>
  <si>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</si>
  <si>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</si>
  <si>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</si>
  <si>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</si>
  <si>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</si>
  <si>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</si>
  <si>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</si>
  <si>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</si>
  <si>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</si>
  <si>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</si>
  <si>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</si>
  <si>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</si>
  <si>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</si>
  <si>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</si>
  <si>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</si>
  <si>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</si>
  <si>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</si>
  <si>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</si>
  <si>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</si>
  <si>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</si>
  <si>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</si>
  <si>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</si>
  <si>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</si>
  <si>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</si>
  <si>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</si>
  <si>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</si>
  <si>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</si>
  <si>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</si>
  <si>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</si>
  <si>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</si>
  <si>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</si>
  <si>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</si>
  <si>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</si>
  <si>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</si>
  <si>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</si>
  <si>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</si>
  <si>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</si>
  <si>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</si>
  <si>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</si>
  <si>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</si>
  <si>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</si>
  <si>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</si>
  <si>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</si>
  <si>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</si>
  <si>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</si>
  <si>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</si>
  <si>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</si>
  <si>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</si>
  <si>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</si>
  <si>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</si>
  <si>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</si>
  <si>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</si>
  <si>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</si>
  <si>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</si>
  <si>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</si>
  <si>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</si>
  <si>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</si>
  <si>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</si>
  <si>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</si>
  <si>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</si>
  <si>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</si>
  <si>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</si>
  <si>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</si>
  <si>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</si>
  <si>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</si>
  <si>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</si>
  <si>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</si>
  <si>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</si>
  <si>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</si>
  <si>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</si>
  <si>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</si>
  <si>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</si>
  <si>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</si>
  <si>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</si>
  <si>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</si>
  <si>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</si>
  <si>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</si>
  <si>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</si>
  <si>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</si>
  <si>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</si>
  <si>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</si>
  <si>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</si>
  <si>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</si>
  <si>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</si>
  <si>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</si>
  <si>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</si>
  <si>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</si>
  <si>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</si>
  <si>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</si>
  <si>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</si>
  <si>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</si>
  <si>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</si>
  <si>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</si>
  <si>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</si>
  <si>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</si>
  <si>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</si>
  <si>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</si>
  <si>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</si>
  <si>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</si>
  <si>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</si>
  <si>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</si>
  <si>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</si>
  <si>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</si>
  <si>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</si>
  <si>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</si>
  <si>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</si>
  <si>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</si>
  <si>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</si>
  <si>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</si>
  <si>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</si>
  <si>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</si>
  <si>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</si>
  <si>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</si>
  <si>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</si>
  <si>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</si>
  <si>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</si>
  <si>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</si>
  <si>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</si>
  <si>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</si>
  <si>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</si>
  <si>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</si>
  <si>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</si>
  <si>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</si>
  <si>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</si>
  <si>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</si>
  <si>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</si>
  <si>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</si>
  <si>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</si>
  <si>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</si>
  <si>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</si>
  <si>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</si>
  <si>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</si>
  <si>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</si>
  <si>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</si>
  <si>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</si>
  <si>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</si>
  <si>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</si>
  <si>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</si>
  <si>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</si>
  <si>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</si>
  <si>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</si>
  <si>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</si>
  <si>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</si>
  <si>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</si>
  <si>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</si>
  <si>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</si>
  <si>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</si>
  <si>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</si>
  <si>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</si>
  <si>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</si>
  <si>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</si>
  <si>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</si>
  <si>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</si>
  <si>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</si>
  <si>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</si>
  <si>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</si>
  <si>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</si>
  <si>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</si>
  <si>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</si>
  <si>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</si>
  <si>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</si>
  <si>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</si>
  <si>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</si>
  <si>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</si>
  <si>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</si>
  <si>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</si>
  <si>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</si>
  <si>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</si>
  <si>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</si>
  <si>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</si>
  <si>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</si>
  <si>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</si>
  <si>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</si>
  <si>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</si>
  <si>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</si>
  <si>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</si>
  <si>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</si>
  <si>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</si>
  <si>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</si>
  <si>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</si>
  <si>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</si>
  <si>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</si>
  <si>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</si>
  <si>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</si>
  <si>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</si>
  <si>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</si>
  <si>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</si>
  <si>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</si>
  <si>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</si>
  <si>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</si>
  <si>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</si>
  <si>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</si>
  <si>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</si>
  <si>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</si>
  <si>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</si>
  <si>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</si>
  <si>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</si>
  <si>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</si>
  <si>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</si>
  <si>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</si>
  <si>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</si>
  <si>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</si>
  <si>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</si>
  <si>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</si>
  <si>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</si>
  <si>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</si>
  <si>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</si>
  <si>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</si>
  <si>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</si>
  <si>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</si>
  <si>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</si>
  <si>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</si>
  <si>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</si>
  <si>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</si>
  <si>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</si>
  <si>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</si>
  <si>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</si>
  <si>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</si>
  <si>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</si>
  <si>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</si>
  <si>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</si>
  <si>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</si>
  <si>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</si>
  <si>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</si>
  <si>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</si>
  <si>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</si>
  <si>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</si>
  <si>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</si>
  <si>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</si>
  <si>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</si>
  <si>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</si>
  <si>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</si>
  <si>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</si>
  <si>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</si>
  <si>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</si>
  <si>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</si>
  <si>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</si>
  <si>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</si>
  <si>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</si>
  <si>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</si>
  <si>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</si>
  <si>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</si>
  <si>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</si>
  <si>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</si>
  <si>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</si>
  <si>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</si>
  <si>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</si>
  <si>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</si>
  <si>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</si>
  <si>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</si>
  <si>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</si>
  <si>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</si>
  <si>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</si>
  <si>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</si>
  <si>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</si>
  <si>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</si>
  <si>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</si>
  <si>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</si>
  <si>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</si>
  <si>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</si>
  <si>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</si>
  <si>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</si>
  <si>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</si>
  <si>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</si>
  <si>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</si>
  <si>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</si>
  <si>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</si>
  <si>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</si>
  <si>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</si>
  <si>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</si>
  <si>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</si>
  <si>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</si>
  <si>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</si>
  <si>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</si>
  <si>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</si>
  <si>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</si>
  <si>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</si>
  <si>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</si>
  <si>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</si>
  <si>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</si>
  <si>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</si>
  <si>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</si>
  <si>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</si>
  <si>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</si>
  <si>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</si>
  <si>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</si>
  <si>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</si>
  <si>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</si>
  <si>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</si>
  <si>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</si>
  <si>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</si>
  <si>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</si>
  <si>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</si>
  <si>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</si>
  <si>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</si>
  <si>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</si>
  <si>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</si>
  <si>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</si>
  <si>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</si>
  <si>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</si>
  <si>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</si>
  <si>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</si>
  <si>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</si>
  <si>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</si>
  <si>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</si>
  <si>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</si>
  <si>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</si>
  <si>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</si>
  <si>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</si>
  <si>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</si>
  <si>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</si>
  <si>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</si>
  <si>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</si>
  <si>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</si>
  <si>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</si>
  <si>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</si>
  <si>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</si>
  <si>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</si>
  <si>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</si>
  <si>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</si>
  <si>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</si>
  <si>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</si>
  <si>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</si>
  <si>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</si>
  <si>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</si>
  <si>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</si>
  <si>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</si>
  <si>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</si>
  <si>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</si>
  <si>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</si>
  <si>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</si>
  <si>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</si>
  <si>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</si>
  <si>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</si>
  <si>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</si>
  <si>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</si>
  <si>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</si>
  <si>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</si>
  <si>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</si>
  <si>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</si>
  <si>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</si>
  <si>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</si>
  <si>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</si>
  <si>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</si>
  <si>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</si>
  <si>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</si>
  <si>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</si>
  <si>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</si>
  <si>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</si>
  <si>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</si>
  <si>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</si>
  <si>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</si>
  <si>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</si>
  <si>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</si>
  <si>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</si>
  <si>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</si>
  <si>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</si>
  <si>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</si>
  <si>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</si>
  <si>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</si>
  <si>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</si>
  <si>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</si>
  <si>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</si>
  <si>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</si>
  <si>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</si>
  <si>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</si>
  <si>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</si>
  <si>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</si>
  <si>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</si>
  <si>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</si>
  <si>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</si>
  <si>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</si>
  <si>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</si>
  <si>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</si>
  <si>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</si>
  <si>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</si>
  <si>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</si>
  <si>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</si>
  <si>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</si>
  <si>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</si>
  <si>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</si>
  <si>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</si>
  <si>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</si>
  <si>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</si>
  <si>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</si>
  <si>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</si>
  <si>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</si>
  <si>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</si>
  <si>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</si>
  <si>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</si>
  <si>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</si>
  <si>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</si>
  <si>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</si>
  <si>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</si>
  <si>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</si>
  <si>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</si>
  <si>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</si>
  <si>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</si>
  <si>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</si>
  <si>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</si>
  <si>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</si>
  <si>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</si>
  <si>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</si>
  <si>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</si>
  <si>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</si>
  <si>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</si>
  <si>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</si>
  <si>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</si>
  <si>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</si>
  <si>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</si>
  <si>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</si>
  <si>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</si>
  <si>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</si>
  <si>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</si>
  <si>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</si>
  <si>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</si>
  <si>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</si>
  <si>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</si>
  <si>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</si>
  <si>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</si>
  <si>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</si>
  <si>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</si>
  <si>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</si>
  <si>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</si>
  <si>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</si>
  <si>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</si>
  <si>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</si>
  <si>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</si>
  <si>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</si>
  <si>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</si>
  <si>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</si>
  <si>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</si>
  <si>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</si>
  <si>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</si>
  <si>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</si>
  <si>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</si>
  <si>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</si>
  <si>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</si>
  <si>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</si>
  <si>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</si>
  <si>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</si>
  <si>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</si>
  <si>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</si>
  <si>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</si>
  <si>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</si>
  <si>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</si>
  <si>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</si>
  <si>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</si>
  <si>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</si>
  <si>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</si>
  <si>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</si>
  <si>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</si>
  <si>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</si>
  <si>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</si>
  <si>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</si>
  <si>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</si>
  <si>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</si>
  <si>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</si>
  <si>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</si>
  <si>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</si>
  <si>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</si>
  <si>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</si>
  <si>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</si>
  <si>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</si>
  <si>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</si>
  <si>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</si>
  <si>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</si>
  <si>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</si>
  <si>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</si>
  <si>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</si>
  <si>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</si>
  <si>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</si>
  <si>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</si>
  <si>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</si>
  <si>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</si>
  <si>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</si>
  <si>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</si>
  <si>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</si>
  <si>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</si>
  <si>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</si>
  <si>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</si>
  <si>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</si>
  <si>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</si>
  <si>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</si>
  <si>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</si>
  <si>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</si>
  <si>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</si>
  <si>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</si>
  <si>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</si>
  <si>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</si>
  <si>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</si>
  <si>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</si>
  <si>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</si>
  <si>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</si>
  <si>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</si>
  <si>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</si>
  <si>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</si>
  <si>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</si>
  <si>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</si>
  <si>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</si>
  <si>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</si>
  <si>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</si>
  <si>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</si>
  <si>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</si>
  <si>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</si>
  <si>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</si>
  <si>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</si>
  <si>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</si>
  <si>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</si>
  <si>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</si>
  <si>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</si>
  <si>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</si>
  <si>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</si>
  <si>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</si>
  <si>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</si>
  <si>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</si>
  <si>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</si>
  <si>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</si>
  <si>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</si>
  <si>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</si>
  <si>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</si>
  <si>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</si>
  <si>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</si>
  <si>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</si>
  <si>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</si>
  <si>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</si>
  <si>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</si>
  <si>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</si>
  <si>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</si>
  <si>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</si>
  <si>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</si>
  <si>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</si>
  <si>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</si>
  <si>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</si>
  <si>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</si>
  <si>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</si>
  <si>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</si>
  <si>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</si>
  <si>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</si>
  <si>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</si>
  <si>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</si>
  <si>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</si>
  <si>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</si>
  <si>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</si>
  <si>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</si>
  <si>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</si>
  <si>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</si>
  <si>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</si>
  <si>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</si>
  <si>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</si>
  <si>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</si>
  <si>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</si>
  <si>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</si>
  <si>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</si>
  <si>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</si>
  <si>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</si>
  <si>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</si>
  <si>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</si>
  <si>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</si>
  <si>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</si>
  <si>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</si>
  <si>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</si>
  <si>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</si>
  <si>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</si>
  <si>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</si>
  <si>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</si>
  <si>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</si>
  <si>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</si>
  <si>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</si>
  <si>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</si>
  <si>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</si>
  <si>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</si>
  <si>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</si>
  <si>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</si>
  <si>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</si>
  <si>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</si>
  <si>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</si>
  <si>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</si>
  <si>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</si>
  <si>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</si>
  <si>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</si>
  <si>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</si>
  <si>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</si>
  <si>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</si>
  <si>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</si>
  <si>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</si>
  <si>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</si>
  <si>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</si>
  <si>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</si>
  <si>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</si>
  <si>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</si>
  <si>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</si>
  <si>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</si>
  <si>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</si>
  <si>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</si>
  <si>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</si>
  <si>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</si>
  <si>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</si>
  <si>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</si>
  <si>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</si>
  <si>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</si>
  <si>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</si>
  <si>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</si>
  <si>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</si>
  <si>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</si>
  <si>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</si>
  <si>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</si>
  <si>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</si>
  <si>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</si>
  <si>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</si>
  <si>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</si>
  <si>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</si>
  <si>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</si>
  <si>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</si>
  <si>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</si>
  <si>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</si>
  <si>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</si>
  <si>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</si>
  <si>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</si>
  <si>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</si>
  <si>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</si>
  <si>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</si>
  <si>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</si>
  <si>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</si>
  <si>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</si>
  <si>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</si>
  <si>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</si>
  <si>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</si>
  <si>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</si>
  <si>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</si>
  <si>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</si>
  <si>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</si>
  <si>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</si>
  <si>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</si>
  <si>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</si>
  <si>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</si>
  <si>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</si>
  <si>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</si>
  <si>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</si>
  <si>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</si>
  <si>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</si>
  <si>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</si>
  <si>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</si>
  <si>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</si>
  <si>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</si>
  <si>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</si>
  <si>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</si>
  <si>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</si>
  <si>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</si>
  <si>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</si>
  <si>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</si>
  <si>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</si>
  <si>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</si>
  <si>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</si>
  <si>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</si>
  <si>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</si>
  <si>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</si>
  <si>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</si>
  <si>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</si>
  <si>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</si>
  <si>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</si>
  <si>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</si>
  <si>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</si>
  <si>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</si>
  <si>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</si>
  <si>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</si>
  <si>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</si>
  <si>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</si>
  <si>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</si>
  <si>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</si>
  <si>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</si>
  <si>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</si>
  <si>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</si>
  <si>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</si>
  <si>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</si>
  <si>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</si>
  <si>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</si>
  <si>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</si>
  <si>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</si>
  <si>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</si>
  <si>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</si>
  <si>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</si>
  <si>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</si>
  <si>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</si>
  <si>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</si>
  <si>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</si>
  <si>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</si>
  <si>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</si>
  <si>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</si>
  <si>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</si>
  <si>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</si>
  <si>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</si>
  <si>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</si>
  <si>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</si>
  <si>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</si>
  <si>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</si>
  <si>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</si>
  <si>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</si>
  <si>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</si>
  <si>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</si>
  <si>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</si>
  <si>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</si>
  <si>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</si>
  <si>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</si>
  <si>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</si>
  <si>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</si>
  <si>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</si>
  <si>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</si>
  <si>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</si>
  <si>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</si>
  <si>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</si>
  <si>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</si>
  <si>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</si>
  <si>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</si>
  <si>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</si>
  <si>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</si>
  <si>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</si>
  <si>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</si>
  <si>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</si>
  <si>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</si>
  <si>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</si>
  <si>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</si>
  <si>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</si>
  <si>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</si>
  <si>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</si>
  <si>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</si>
  <si>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</si>
  <si>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</si>
  <si>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</si>
  <si>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</si>
  <si>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</si>
  <si>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</si>
  <si>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</si>
  <si>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</si>
  <si>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</si>
  <si>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</si>
  <si>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</si>
  <si>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</si>
  <si>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</si>
  <si>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</si>
  <si>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</si>
  <si>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</si>
  <si>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</si>
  <si>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</si>
  <si>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</si>
  <si>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</si>
  <si>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</si>
  <si>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</si>
  <si>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</si>
  <si>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</si>
  <si>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</si>
  <si>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</si>
  <si>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</si>
  <si>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</si>
  <si>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</si>
  <si>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</si>
  <si>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</si>
  <si>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</si>
  <si>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</si>
  <si>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</si>
  <si>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</si>
  <si>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</si>
  <si>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</si>
  <si>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</si>
  <si>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</si>
  <si>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</si>
  <si>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</si>
  <si>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</si>
  <si>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</si>
  <si>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</si>
  <si>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</si>
  <si>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</si>
  <si>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</si>
  <si>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</si>
  <si>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</si>
  <si>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</si>
  <si>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</si>
  <si>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</si>
  <si>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</si>
  <si>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</si>
  <si>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</si>
  <si>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</si>
  <si>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</si>
  <si>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</si>
  <si>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</si>
  <si>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</si>
  <si>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</si>
  <si>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</si>
  <si>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</si>
  <si>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</si>
  <si>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</si>
  <si>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</si>
  <si>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</si>
  <si>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</si>
  <si>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</si>
  <si>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</si>
  <si>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</si>
  <si>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</si>
  <si>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</si>
  <si>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</si>
  <si>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</si>
  <si>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</si>
  <si>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</si>
  <si>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</si>
  <si>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</si>
  <si>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</si>
  <si>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</si>
  <si>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</si>
  <si>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</si>
  <si>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</si>
  <si>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</si>
  <si>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</si>
  <si>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</si>
  <si>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</si>
  <si>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</si>
  <si>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</si>
  <si>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</si>
  <si>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</si>
  <si>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</si>
  <si>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</si>
  <si>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</si>
  <si>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</si>
  <si>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</si>
  <si>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</si>
  <si>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</si>
  <si>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</si>
  <si>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</si>
  <si>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</si>
  <si>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</si>
  <si>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</si>
  <si>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</si>
  <si>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</si>
  <si>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</si>
  <si>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</si>
  <si>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</si>
  <si>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</si>
  <si>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</si>
  <si>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</si>
  <si>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</si>
  <si>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</si>
  <si>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</si>
  <si>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</si>
  <si>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</si>
  <si>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</si>
  <si>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</si>
  <si>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</si>
  <si>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</si>
  <si>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</si>
  <si>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</si>
  <si>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</si>
  <si>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</si>
  <si>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</si>
  <si>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</si>
  <si>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</si>
  <si>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</si>
  <si>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</si>
  <si>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</si>
  <si>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</si>
  <si>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</si>
  <si>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</si>
  <si>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</si>
  <si>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</si>
  <si>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</si>
  <si>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</si>
  <si>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</si>
  <si>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</si>
  <si>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</si>
  <si>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</si>
  <si>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</si>
  <si>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</si>
  <si>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</si>
  <si>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</si>
  <si>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</si>
  <si>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</si>
  <si>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</si>
  <si>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</si>
  <si>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</si>
  <si>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</si>
  <si>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</si>
  <si>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</si>
  <si>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</si>
  <si>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</si>
  <si>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</si>
  <si>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</si>
  <si>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</si>
  <si>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</si>
  <si>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</si>
  <si>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</si>
  <si>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</si>
  <si>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</si>
  <si>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</si>
  <si>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</si>
  <si>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</si>
  <si>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</si>
  <si>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</si>
  <si>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</si>
  <si>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</si>
  <si>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</si>
  <si>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</si>
  <si>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</si>
  <si>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</si>
  <si>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</si>
  <si>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</si>
  <si>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</si>
  <si>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</si>
  <si>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</si>
  <si>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</si>
  <si>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</si>
  <si>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</si>
  <si>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</si>
  <si>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</si>
  <si>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</si>
  <si>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</si>
  <si>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</si>
  <si>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</si>
  <si>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</si>
  <si>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</si>
  <si>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</si>
  <si>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</si>
  <si>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</si>
  <si>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</si>
  <si>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</si>
  <si>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</si>
  <si>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</si>
  <si>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</si>
  <si>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</si>
  <si>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</si>
  <si>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</si>
  <si>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</si>
  <si>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</si>
  <si>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</si>
  <si>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</si>
  <si>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</si>
  <si>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</si>
  <si>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</si>
  <si>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</si>
  <si>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</si>
  <si>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</si>
  <si>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</si>
  <si>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</si>
  <si>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</si>
  <si>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</si>
  <si>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</si>
  <si>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</si>
  <si>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</si>
  <si>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</si>
  <si>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</si>
  <si>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</si>
  <si>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</si>
  <si>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</si>
  <si>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</si>
  <si>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</si>
  <si>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</si>
  <si>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</si>
  <si>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</si>
  <si>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</si>
  <si>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</si>
  <si>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</si>
  <si>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</si>
  <si>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</si>
  <si>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</si>
  <si>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</si>
  <si>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</si>
  <si>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</si>
  <si>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</si>
  <si>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</si>
  <si>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</si>
  <si>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</si>
  <si>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</si>
  <si>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</si>
  <si>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</si>
  <si>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</si>
  <si>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</si>
  <si>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</si>
  <si>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</si>
  <si>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</si>
  <si>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</si>
  <si>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</si>
  <si>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</si>
  <si>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</si>
  <si>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</si>
  <si>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</si>
  <si>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</si>
  <si>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</si>
  <si>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</si>
  <si>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</si>
  <si>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</si>
  <si>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</si>
  <si>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</si>
  <si>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</si>
  <si>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</si>
  <si>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</si>
  <si>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</si>
  <si>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</si>
  <si>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</si>
  <si>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</si>
  <si>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</si>
  <si>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</si>
  <si>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</si>
  <si>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</si>
  <si>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</si>
  <si>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</si>
  <si>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</si>
  <si>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</si>
  <si>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</si>
  <si>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</si>
  <si>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</si>
  <si>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</si>
  <si>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</si>
  <si>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</si>
  <si>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</si>
  <si>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</si>
  <si>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</si>
  <si>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</si>
  <si>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</si>
  <si>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</si>
  <si>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</si>
  <si>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</si>
  <si>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</si>
  <si>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</si>
  <si>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</si>
  <si>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</si>
  <si>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</si>
  <si>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</si>
  <si>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</si>
  <si>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</si>
  <si>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</si>
  <si>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</si>
  <si>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</si>
  <si>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</si>
  <si>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</si>
  <si>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</si>
  <si>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</si>
  <si>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</si>
  <si>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</si>
  <si>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</si>
  <si>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</si>
  <si>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</si>
  <si>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</si>
  <si>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</si>
  <si>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</si>
  <si>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</si>
  <si>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</si>
  <si>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</si>
  <si>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</si>
  <si>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</si>
  <si>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</si>
  <si>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</si>
  <si>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</si>
  <si>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</si>
  <si>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</si>
  <si>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</si>
  <si>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</si>
  <si>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</si>
  <si>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</si>
  <si>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</si>
  <si>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</si>
  <si>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</si>
  <si>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</si>
  <si>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</si>
  <si>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</si>
  <si>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</si>
  <si>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</si>
  <si>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</si>
  <si>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</si>
  <si>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</si>
  <si>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</si>
  <si>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</si>
  <si>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</si>
  <si>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</si>
  <si>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</si>
  <si>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</si>
  <si>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</si>
  <si>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</si>
  <si>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</si>
  <si>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</si>
  <si>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</si>
  <si>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</si>
  <si>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</si>
  <si>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</si>
  <si>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</si>
  <si>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</si>
  <si>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</si>
  <si>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</si>
  <si>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</si>
  <si>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</si>
  <si>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</si>
  <si>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</si>
  <si>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</si>
  <si>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</si>
  <si>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</si>
  <si>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</si>
  <si>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</si>
  <si>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</si>
  <si>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</si>
  <si>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</si>
  <si>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</si>
  <si>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</si>
  <si>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</si>
  <si>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</si>
  <si>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</si>
  <si>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</si>
  <si>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</si>
  <si>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</si>
  <si>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</si>
  <si>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</si>
  <si>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</si>
  <si>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</si>
  <si>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</si>
  <si>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</si>
  <si>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</si>
  <si>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</si>
  <si>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</si>
  <si>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</si>
  <si>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</si>
  <si>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</si>
  <si>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</si>
  <si>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</si>
  <si>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</si>
  <si>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</si>
  <si>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</si>
  <si>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</si>
  <si>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</si>
  <si>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</si>
  <si>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</si>
  <si>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</si>
  <si>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</si>
  <si>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</si>
  <si>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</si>
  <si>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</si>
  <si>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</si>
  <si>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</si>
  <si>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</si>
  <si>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</si>
  <si>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</si>
  <si>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</si>
  <si>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</si>
  <si>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</si>
  <si>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</si>
  <si>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</si>
  <si>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</si>
  <si>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</si>
  <si>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</si>
  <si>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</si>
  <si>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</si>
  <si>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</si>
  <si>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</si>
  <si>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</si>
  <si>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</si>
  <si>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</si>
  <si>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</si>
  <si>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</si>
  <si>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</si>
  <si>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</si>
  <si>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</si>
  <si>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</si>
  <si>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</si>
  <si>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</si>
  <si>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</si>
  <si>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</si>
  <si>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</si>
  <si>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</si>
  <si>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</si>
  <si>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</si>
  <si>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</si>
  <si>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</si>
  <si>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</si>
  <si>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</si>
  <si>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</si>
  <si>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</si>
  <si>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</si>
  <si>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</si>
  <si>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</si>
  <si>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</si>
  <si>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</si>
  <si>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</si>
  <si>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</si>
  <si>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</si>
  <si>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</si>
  <si>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</si>
  <si>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</si>
  <si>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</si>
  <si>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</si>
  <si>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</si>
  <si>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</si>
  <si>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</si>
  <si>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</si>
  <si>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</si>
  <si>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</si>
  <si>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</si>
  <si>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</si>
  <si>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</si>
  <si>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</si>
  <si>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</si>
  <si>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</si>
  <si>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</si>
  <si>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</si>
  <si>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</si>
  <si>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</si>
  <si>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</si>
  <si>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</si>
  <si>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</si>
  <si>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</si>
  <si>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</si>
  <si>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</si>
  <si>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</si>
  <si>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</si>
  <si>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</si>
  <si>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</si>
  <si>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</si>
  <si>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</si>
  <si>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</si>
  <si>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</si>
  <si>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</si>
  <si>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</si>
  <si>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</si>
  <si>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</si>
  <si>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</si>
  <si>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</si>
  <si>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</si>
  <si>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</si>
  <si>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</si>
  <si>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</si>
  <si>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</si>
  <si>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</si>
  <si>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</si>
  <si>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</si>
  <si>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</si>
  <si>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</si>
  <si>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</si>
  <si>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</si>
  <si>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</si>
  <si>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</si>
  <si>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</si>
  <si>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</si>
  <si>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</si>
  <si>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</si>
  <si>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</si>
  <si>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</si>
  <si>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</si>
  <si>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</si>
  <si>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</si>
  <si>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</si>
  <si>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</si>
  <si>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</si>
  <si>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</si>
  <si>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</si>
  <si>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</si>
  <si>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</si>
  <si>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</si>
  <si>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</si>
  <si>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</si>
  <si>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</si>
  <si>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</si>
  <si>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</si>
  <si>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</si>
  <si>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</si>
  <si>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</si>
  <si>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</si>
  <si>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</si>
  <si>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</si>
  <si>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</si>
  <si>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</si>
  <si>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</si>
  <si>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</si>
  <si>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</si>
  <si>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</si>
  <si>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</si>
  <si>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</si>
  <si>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</si>
  <si>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</si>
  <si>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</si>
  <si>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</si>
  <si>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</si>
  <si>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</si>
  <si>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</si>
  <si>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</si>
  <si>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</si>
  <si>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</si>
  <si>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</si>
  <si>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</si>
  <si>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</si>
  <si>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</si>
  <si>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</si>
  <si>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</si>
  <si>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</si>
  <si>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</si>
  <si>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</si>
  <si>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</si>
  <si>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</si>
  <si>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</si>
  <si>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</si>
  <si>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</si>
  <si>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</si>
  <si>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</si>
  <si>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</si>
  <si>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</si>
  <si>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</si>
  <si>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</si>
  <si>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</si>
  <si>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</si>
  <si>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</si>
  <si>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</si>
  <si>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</si>
  <si>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</si>
  <si>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</si>
  <si>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</si>
  <si>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</si>
  <si>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</si>
  <si>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</si>
  <si>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</si>
  <si>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</si>
  <si>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</si>
  <si>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</si>
  <si>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</si>
  <si>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</si>
  <si>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</si>
  <si>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</si>
  <si>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</si>
  <si>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</si>
  <si>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</si>
  <si>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</si>
  <si>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</si>
  <si>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</si>
  <si>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</si>
  <si>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</si>
  <si>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</si>
  <si>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</si>
  <si>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</si>
  <si>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</si>
  <si>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</si>
  <si>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</si>
  <si>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</si>
  <si>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</si>
  <si>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</si>
  <si>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</si>
  <si>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</si>
  <si>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</si>
  <si>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</si>
  <si>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</si>
  <si>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</si>
  <si>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</si>
  <si>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</si>
  <si>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</si>
  <si>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</si>
  <si>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</si>
  <si>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</si>
  <si>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</si>
  <si>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</si>
  <si>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</si>
  <si>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</si>
  <si>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</si>
  <si>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</si>
  <si>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</si>
  <si>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</si>
  <si>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</si>
  <si>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</si>
  <si>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</si>
  <si>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</si>
  <si>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</si>
  <si>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</si>
  <si>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</si>
  <si>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</si>
  <si>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</si>
  <si>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</si>
  <si>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</si>
  <si>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</si>
  <si>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</si>
  <si>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</si>
  <si>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</si>
  <si>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</si>
  <si>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</si>
  <si>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</si>
  <si>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</si>
  <si>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</si>
  <si>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</si>
  <si>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</si>
  <si>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</si>
  <si>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</si>
  <si>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</si>
  <si>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</si>
  <si>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</si>
  <si>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</si>
  <si>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</si>
  <si>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</si>
  <si>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</si>
  <si>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</si>
  <si>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</si>
  <si>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</si>
  <si>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</si>
  <si>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</si>
  <si>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</si>
  <si>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</si>
  <si>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</si>
  <si>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</si>
  <si>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</si>
  <si>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</si>
  <si>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</si>
  <si>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</si>
  <si>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</si>
  <si>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</si>
  <si>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</si>
  <si>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</si>
  <si>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</si>
  <si>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</si>
  <si>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</si>
  <si>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</si>
  <si>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</si>
  <si>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</si>
  <si>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</si>
  <si>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</si>
  <si>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</si>
  <si>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</si>
  <si>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</si>
  <si>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</si>
  <si>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</si>
  <si>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</si>
  <si>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</si>
  <si>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</si>
  <si>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</si>
  <si>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</si>
  <si>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</si>
  <si>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</si>
  <si>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</si>
  <si>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</si>
  <si>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</si>
  <si>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</si>
  <si>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</si>
  <si>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</si>
  <si>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</si>
  <si>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</si>
  <si>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</si>
  <si>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</si>
  <si>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</si>
  <si>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</si>
  <si>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</si>
  <si>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</si>
  <si>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</si>
  <si>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</si>
  <si>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</si>
  <si>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</si>
  <si>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</si>
  <si>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</si>
  <si>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</si>
  <si>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</si>
  <si>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</si>
  <si>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</si>
  <si>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</si>
  <si>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</si>
  <si>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</si>
  <si>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</si>
  <si>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</si>
  <si>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</si>
  <si>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</si>
  <si>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</si>
  <si>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</si>
  <si>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</si>
  <si>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</si>
  <si>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</si>
  <si>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</si>
  <si>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</si>
  <si>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</si>
  <si>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</si>
  <si>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</si>
  <si>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</si>
  <si>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</si>
  <si>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</si>
  <si>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</si>
  <si>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</si>
  <si>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</si>
  <si>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</si>
  <si>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</si>
  <si>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</si>
  <si>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</si>
  <si>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</si>
  <si>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</si>
  <si>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</si>
  <si>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</si>
  <si>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</si>
  <si>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</si>
  <si>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</si>
  <si>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</si>
  <si>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</si>
  <si>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</si>
  <si>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</si>
  <si>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</si>
  <si>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</si>
  <si>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</si>
  <si>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</si>
  <si>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</si>
  <si>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</si>
  <si>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</si>
  <si>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</si>
  <si>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</si>
  <si>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</si>
  <si>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</si>
  <si>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</si>
  <si>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</si>
  <si>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</si>
  <si>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</si>
  <si>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</si>
  <si>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</si>
  <si>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</si>
  <si>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</si>
  <si>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</si>
  <si>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</si>
  <si>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</si>
  <si>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</si>
  <si>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</si>
  <si>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</si>
  <si>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</si>
  <si>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</si>
  <si>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</si>
  <si>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</si>
  <si>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</si>
  <si>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</si>
  <si>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</si>
  <si>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</si>
  <si>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</si>
  <si>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</si>
  <si>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</si>
  <si>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</si>
  <si>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</si>
  <si>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</si>
  <si>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</si>
  <si>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</si>
  <si>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</si>
  <si>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</si>
  <si>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</si>
  <si>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</si>
  <si>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</si>
  <si>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</si>
  <si>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</si>
  <si>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</si>
  <si>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</si>
  <si>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</si>
  <si>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</si>
  <si>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</si>
  <si>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</si>
  <si>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</si>
  <si>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</si>
  <si>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</si>
  <si>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</si>
  <si>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</si>
  <si>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</si>
  <si>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</si>
  <si>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</si>
  <si>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</si>
  <si>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</si>
  <si>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</si>
  <si>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</si>
  <si>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</si>
  <si>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</si>
  <si>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</si>
  <si>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</si>
  <si>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</si>
  <si>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</si>
  <si>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</si>
  <si>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</si>
  <si>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</si>
  <si>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</si>
  <si>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</si>
  <si>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</si>
  <si>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</si>
  <si>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</si>
  <si>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</si>
  <si>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</si>
  <si>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</si>
  <si>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</si>
  <si>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</si>
  <si>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</si>
  <si>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</si>
  <si>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</si>
  <si>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</si>
  <si>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</si>
  <si>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</si>
  <si>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</si>
  <si>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</si>
  <si>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</si>
  <si>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</si>
  <si>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</si>
  <si>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</si>
  <si>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</si>
  <si>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</si>
  <si>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</si>
  <si>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</si>
  <si>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</si>
  <si>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</si>
  <si>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</si>
  <si>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</si>
  <si>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</si>
  <si>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</si>
  <si>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</si>
  <si>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</si>
  <si>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</si>
  <si>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</si>
  <si>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</si>
  <si>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</si>
  <si>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</si>
  <si>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</si>
  <si>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</si>
  <si>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</si>
  <si>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</si>
  <si>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</si>
  <si>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</si>
  <si>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</si>
  <si>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</si>
  <si>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</si>
  <si>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</si>
  <si>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</si>
  <si>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</si>
  <si>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</si>
  <si>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</si>
  <si>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</si>
  <si>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</si>
  <si>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</si>
  <si>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</si>
  <si>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</si>
  <si>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</si>
  <si>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</si>
  <si>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</si>
  <si>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</si>
  <si>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</si>
  <si>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</si>
  <si>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</si>
  <si>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</si>
  <si>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</si>
  <si>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</si>
  <si>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</si>
  <si>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</si>
  <si>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</si>
  <si>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</si>
  <si>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</si>
  <si>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</si>
  <si>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</si>
  <si>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</si>
  <si>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</si>
  <si>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</si>
  <si>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</si>
  <si>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</si>
  <si>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</si>
  <si>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</si>
  <si>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</si>
  <si>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</si>
  <si>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</si>
  <si>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</si>
  <si>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</si>
  <si>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</si>
  <si>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</si>
  <si>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</si>
  <si>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</si>
  <si>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</si>
  <si>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</si>
  <si>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</si>
  <si>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</si>
  <si>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</si>
  <si>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</si>
  <si>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</si>
  <si>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</si>
  <si>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</si>
  <si>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</si>
  <si>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</si>
  <si>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</si>
  <si>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</si>
  <si>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</si>
  <si>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</si>
  <si>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</si>
  <si>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</si>
  <si>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</si>
  <si>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</si>
  <si>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</si>
  <si>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</si>
  <si>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</si>
  <si>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</si>
  <si>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</si>
  <si>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</si>
  <si>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</si>
  <si>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</si>
  <si>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</si>
  <si>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</si>
  <si>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</si>
  <si>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</si>
  <si>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</si>
  <si>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</si>
  <si>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</si>
  <si>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</si>
  <si>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</si>
  <si>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</si>
  <si>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</si>
  <si>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</si>
  <si>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</si>
  <si>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</si>
  <si>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</si>
  <si>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</si>
  <si>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</si>
  <si>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</si>
  <si>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</si>
  <si>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</si>
  <si>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</si>
  <si>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</si>
  <si>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</si>
  <si>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</si>
  <si>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</si>
  <si>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</si>
  <si>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</si>
  <si>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</si>
  <si>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</si>
  <si>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</si>
  <si>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</si>
  <si>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</si>
  <si>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</si>
  <si>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</si>
  <si>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</si>
  <si>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</si>
  <si>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</si>
  <si>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</si>
  <si>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</si>
  <si>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</si>
  <si>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</si>
  <si>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</si>
  <si>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</si>
  <si>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</si>
  <si>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</si>
  <si>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</si>
  <si>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</si>
  <si>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</si>
  <si>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</si>
  <si>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</si>
  <si>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</si>
  <si>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</si>
  <si>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</si>
  <si>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</si>
  <si>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</si>
  <si>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</si>
  <si>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</si>
  <si>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</si>
  <si>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</si>
  <si>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</si>
  <si>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</si>
  <si>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</si>
  <si>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</si>
  <si>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</si>
  <si>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</si>
  <si>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</si>
  <si>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</si>
  <si>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</si>
  <si>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</si>
  <si>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</si>
  <si>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</si>
  <si>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</si>
  <si>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</si>
  <si>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</si>
  <si>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</si>
  <si>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</si>
  <si>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</si>
  <si>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</si>
  <si>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</si>
  <si>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</si>
  <si>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</si>
  <si>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</si>
  <si>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</si>
  <si>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</si>
  <si>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</si>
  <si>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</si>
  <si>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</si>
  <si>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</si>
  <si>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</si>
  <si>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</si>
  <si>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</si>
  <si>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</si>
  <si>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</si>
  <si>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</si>
  <si>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</si>
  <si>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</si>
  <si>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</si>
  <si>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</si>
  <si>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</si>
  <si>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</si>
  <si>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</si>
  <si>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</si>
  <si>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</si>
  <si>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</si>
  <si>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</si>
  <si>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</si>
  <si>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</si>
  <si>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</si>
  <si>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</si>
  <si>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</si>
  <si>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</si>
  <si>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</si>
  <si>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</si>
  <si>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</si>
  <si>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</si>
  <si>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</si>
  <si>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</si>
  <si>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</si>
  <si>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</si>
  <si>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</si>
  <si>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</si>
  <si>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</si>
  <si>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</si>
  <si>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</si>
  <si>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</si>
  <si>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</si>
  <si>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</si>
  <si>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</si>
  <si>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</si>
  <si>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</si>
  <si>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***PFA</t>
  </si>
  <si>
    <t>***PFA (Probability of False Acceptance) is a calculated probability that demonstrates incorrect acceptance decisions resulting from a calibration. A False Accept event occurs when the DUT true bias is outside the calibration limits but the claibration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</si>
  <si>
    <t>Revision Number</t>
  </si>
  <si>
    <t>Date</t>
  </si>
  <si>
    <t>Comments</t>
  </si>
  <si>
    <t>Author</t>
  </si>
  <si>
    <t>Function</t>
  </si>
  <si>
    <t>Robert A. Maldonado</t>
  </si>
  <si>
    <t>Engineering Lab Technician, Generalist</t>
  </si>
  <si>
    <t>REVISION LOG: Dwyer LIMS Cert Form</t>
  </si>
  <si>
    <t xml:space="preserve">Initial creation of spreadsheet. </t>
  </si>
  <si>
    <t>Revision made includes reporting EMU values on Single, Plain, Unc., AFAL sheet to reflect resolution of device calibrated.</t>
  </si>
  <si>
    <r>
      <t xml:space="preserve">Revisions made include reporting EMU values on Single, Plain, Unc., AFAL sheet to only two significant digits as well as PFA calculation of values measured. </t>
    </r>
    <r>
      <rPr>
        <b/>
        <sz val="11"/>
        <color theme="1"/>
        <rFont val="Calibri"/>
        <family val="2"/>
        <scheme val="minor"/>
      </rPr>
      <t>NOTE: THIS REVISION OF THIS FILE AND ONLY SINGLE, PLAIN, UNC., AFAL WAS THE CERTIFICATE OF CALIBRATION FORM USED DURING THE ANAB INITIAL ACCREDITATION ASSESSMENT.</t>
    </r>
  </si>
  <si>
    <t xml:space="preserve">Revisions made include detailed Revision Log with complete history of file, as well as validation of PFA calculator provided in the workbook, error bars reflecting the uncertainty of measurement at each test point have been added in addition to automatic guardbanding application of tolerances when TUR is &lt; 4:1 and updated "Pass"/"-"/"Fail" criteria based on decision rule called out in Terms and Conditions document. </t>
  </si>
  <si>
    <t>PFA Calculator Validation</t>
  </si>
  <si>
    <t>Codes for 
Validation</t>
  </si>
  <si>
    <t>Evidence Supporting
Validation</t>
  </si>
  <si>
    <t>Validation Requirements or
Considerations</t>
  </si>
  <si>
    <t>A</t>
  </si>
  <si>
    <t>Software Inspection</t>
  </si>
  <si>
    <t>B</t>
  </si>
  <si>
    <t>Mathematical Specification</t>
  </si>
  <si>
    <t>C</t>
  </si>
  <si>
    <t>Code Review</t>
  </si>
  <si>
    <t>D</t>
  </si>
  <si>
    <t>Numerical Stability</t>
  </si>
  <si>
    <t>E</t>
  </si>
  <si>
    <t>Component Testing</t>
  </si>
  <si>
    <t>F</t>
  </si>
  <si>
    <t>Numerical Reference Results</t>
  </si>
  <si>
    <t>G</t>
  </si>
  <si>
    <t>Security</t>
  </si>
  <si>
    <t>Review the software. Is it clear and does it make sense? Are there instructions for use? Are the data fields labeled and color coded? Is it obvious what procedure is being used? Is there adequate documentation for a metrologist who is trained in this procedure to know what and where data is entered? Are they able to ensure that no data entry is inadvertently left out? Is the spreadsheet "blank" when opened to make sure old data is not accidently used? Is there traceability to the specific document used? Are unused cells locked? Are unused sheets removed? Are worksheets name appropriately?</t>
  </si>
  <si>
    <t>As of 09/18/2019, the PFA calculator and the worksheet "Single, Plain, Unc. AFAL" have been reviewed and determined to be fit for intended use. The PFA calculator, although in the certificate template, is independent and clearly labeled as such. Column headers are applied to each field in the calculator. Calculations performed in each cell are input based and are sequential, following our internal procedure for PFA calculation (TC-00062) as well as ANSI/NCSL Z540.3 Method 1 and 6 for PFA / PFR Determination as well as guardbanding. Select fields are populated based on information provided through the certificate of calibration. The spreadsheet is left "blank" upon each use as references through software maintain the original and any data entered is treated and saved as a new document (e.g. 19DWY00-1013). Reference to the procedure used is noted on the certificate of calibration and sheets are named such that personnel only use the given sheet for equipment that has uncertainties applied.</t>
  </si>
  <si>
    <t>Is the correct SOP used? Are the correct formulae selected? Is it the one you want used at the reported level of precision/uncertainty? Is there direct traceability of the equations?</t>
  </si>
  <si>
    <t xml:space="preserve">All equations used are provided in both TC-00062 and ANSI/NCSL Z540.3. Each cell has been verified to produce output produced in the ANSI/NCSL Z540.3 example calculations. A condition indicating that PFA is either less than or greater than 2% is provided on the certificate depending on the calculation provided in the table, however, the table is not provided on the certificate of calibration. The calculator is merely a tool that is intended to properly calculate PFA as well as show documented evidence that PFA is calculated. Values and the calculator can be shown to the customer upon request and can be explained in detail. </t>
  </si>
  <si>
    <t>Compare the cells with the formulae line by line in the spreadsheet versus the SOP. Do they match exactly? Are repeated calculations copied exactly or appropriately referencing the correct cells?</t>
  </si>
  <si>
    <t>Equations in each cell are broken down for simplicity in calculation as much as possible. Results match ANSI/NCSL Z540.3's examples. All cells on the certificate of calibration that reference TUR or Tolerance Limits have been verified to function properly depending on the given condition/criteria at the time of data input.</t>
  </si>
  <si>
    <t>Are rounding practices and the stability of precision calculations acceptable and in accordance to necessary standards?</t>
  </si>
  <si>
    <t>Device Under Test and Reference readings match the resolution of the device. EMU values are only reported to two significant figures. TUR's are truncated to one decimal. Deviation in measurement and allowable deviation also match the resolution of the device being tested. Ultimately, all of these values are reviewed upon data review/submittal from technicians. Values for these fields are variant for each device under test. Measurement Reliability in the PFA calculator is a field that may or may not changed depending on product calibrated and history associated with that product line. Values provided in PFA calculator are also reviewed prior to generating certificate.</t>
  </si>
  <si>
    <t>Components include things like "Pass"/"-"/"Fail" testing, color coding, automatic PFA calculation macros. Has the functionality of each macro been tested. Has the accuracy of plotted graphs been verified? Has basic printing function been verified?</t>
  </si>
  <si>
    <t>Decision Ruling has been implemented based on decision ruling called out in OP17025-004. Functionality of color coding, results reporting (e.g. Pass, Fail, -) and automatic PFA calculation macros have been verified and can been seen when generating a certificate of calibration when filling out all necessary fields. The plotted graphs show error bands corresponding to estimated measurement uncertainty reported, graphs are auto-generated based on data entered into certificate of calibration. Certificates, once all information has been reviewed and approved, can be printed such that documents can be sent to the customer.</t>
  </si>
  <si>
    <t xml:space="preserve">Does the measurement and test equipment information match that supplied in TrackPro software? Do uncertainties match the latest Scope? </t>
  </si>
  <si>
    <t>Estimated measurement uncertainty values, like all other fields containing information generated by the user are reviewed during the certificate of calibration review stage. Once the EMU values have been verified to incorporate the latest Scope values, the PFA calculation is reviewed to ensure it is using the most appropriate EMU.</t>
  </si>
  <si>
    <t xml:space="preserve">Can personnel accidentally delete equations and calculation cells that should be protected? Can cells accidently be moved around? Is it possible for untrained personnel to "correct" something by mistake because passwords are readily available?
How are all files backed up? Is there a source of the back-up files maintained in an alternate facility/location? Can the files on network drives accidently be deleted? </t>
  </si>
  <si>
    <t>Initial Validation Performed By:</t>
  </si>
  <si>
    <t>Initial Validation Performed On:</t>
  </si>
  <si>
    <t>Latest Validation of Calculator Performed By:</t>
  </si>
  <si>
    <t>Revision of Spreadsheet Containing Initial Validation:</t>
  </si>
  <si>
    <t>Latest Revision of Spreadsheet Containing Latest Validation:</t>
  </si>
  <si>
    <t>Any Change in Calculator From Initial to Latest Validation?</t>
  </si>
  <si>
    <t xml:space="preserve">This certificate template can only be accessed by a) Engineering Laboratory Generalist or by b) technicians in software. Personnel aside from the generalist are unable to access document without going through software. This version of the document is left open for edit to demonstrate capability of spreadsheet as well as verified functionality, however, in use in the laboratory, PFA calculator fields are protected such that technicians cannot "correct" or doctor the document. All of the information is input into the certificate and calculator through software and protected raw data files. Raw data files prevent users from tampering with raw data and are only accessed, again, through software. Should any data or values provided appear questionable, technical record reviewers can look at the original raw data files for verification or perform checks on the equipment calibrated to ensure values are accurate. Once a document has been formally released, it is locked and users are not allowed to delete, alter, or amend documents without permission and select software rights. All files are backed-up on our IT servers and can be restored in the event files become corrupt. </t>
  </si>
  <si>
    <t>Dwyer LIMS Cert Form - Rev. 3</t>
  </si>
  <si>
    <t>Latest Validation of Calculator Performed On:</t>
  </si>
  <si>
    <t>PFA Calculator Validation - Examples</t>
  </si>
  <si>
    <t>The following table is an example of values entered in for Tolerance Limits, Measurement Reliability, Process Uncertainty, TUR's and Acceptance Limits based on an example from ANSI/NCSL Z540.3. The values in the table for PFA and other calculation match the standard identically.</t>
  </si>
  <si>
    <t>The following table is yet another example from ANSI/NCSL Z540.3 with respect to data listed in the previous table (rows 2 and 3). As the standard mentions, the example applies to previously non-compliant scenarios.</t>
  </si>
  <si>
    <t>Calibration Data: As Found / As Left</t>
  </si>
  <si>
    <t>In its intended state for usage, Tolerance Limits, Process Uncertainty, TURs, and Acceptance Limits will be auto populated based on information entered into the certificate of calibration, promoting ease of usage and preventing technicians from having to perform the calculations by hand or manipulating the spreadsheet. Measurement Reliability is also auto populated based on the product calibrated and history recorded over time in regards to that specific product line. For this example, we look at the Ashcroft Pressure Module series. Of 34 calibrations performed on modules by the Dwyer Instruments, Inc. - Engineering Laboratory, 33 of 34 modules have been found to be in-tolerance, which provides a Measurement Reliability of 33/34 = 97.0588% ~ 97.06%.</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</si>
</sst>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yy"/>
    <numFmt numFmtId="165" formatCode="0.000"/>
    <numFmt numFmtId="166" formatCode="0.0000"/>
    <numFmt numFmtId="167" formatCode="0.00000"/>
  </numFmts>
  <fonts count="33"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
      <b/>
      <u/>
      <sz val="20"/>
      <color theme="1"/>
      <name val="Calibri"/>
      <family val="2"/>
      <scheme val="minor"/>
    </font>
    <font>
      <b/>
      <sz val="11"/>
      <color theme="1"/>
      <name val="Arial"/>
      <family val="2"/>
    </font>
    <font>
      <sz val="11"/>
      <color theme="1"/>
      <name val="Arial"/>
      <family val="2"/>
    </font>
  </fonts>
  <fills count="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9847407452621"/>
        <bgColor indexed="64"/>
      </patternFill>
    </fill>
  </fills>
  <borders count="8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508">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6" fillId="0" borderId="64" xfId="0" applyFont="1" applyBorder="1" applyAlignment="1">
      <alignment horizontal="center" vertical="center" wrapText="1"/>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30" fillId="6" borderId="68" xfId="0" applyFont="1" applyFill="1" applyBorder="1" applyAlignment="1">
      <alignment horizontal="center" vertical="center" wrapText="1"/>
    </xf>
    <xf numFmtId="0" fontId="21" fillId="0" borderId="69" xfId="0" applyFont="1" applyBorder="1" applyAlignment="1">
      <alignment horizontal="center" vertical="center" wrapText="1"/>
    </xf>
    <xf numFmtId="0" fontId="0" fillId="0" borderId="70" xfId="0" applyBorder="1" applyAlignment="1">
      <alignment horizontal="center" vertical="center" wrapText="1"/>
    </xf>
    <xf numFmtId="14" fontId="0" fillId="0" borderId="70" xfId="0" applyNumberFormat="1" applyBorder="1" applyAlignment="1">
      <alignment horizontal="center" vertical="center" wrapText="1"/>
    </xf>
    <xf numFmtId="0" fontId="0" fillId="0" borderId="68" xfId="0" applyBorder="1" applyAlignment="1">
      <alignment horizontal="center" vertical="center" wrapText="1"/>
    </xf>
    <xf numFmtId="14" fontId="0" fillId="0" borderId="68"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0" xfId="0" applyNumberFormat="1" applyFont="1" applyAlignment="1">
      <alignment horizontal="center" vertical="center"/>
    </xf>
    <xf numFmtId="0" fontId="7" fillId="0" borderId="71"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73" xfId="0" applyFont="1" applyBorder="1" applyAlignment="1">
      <alignment horizontal="center" vertical="center" wrapText="1"/>
    </xf>
    <xf numFmtId="10" fontId="7" fillId="0" borderId="13" xfId="0" applyNumberFormat="1" applyFont="1" applyBorder="1" applyAlignment="1">
      <alignment horizontal="center" vertical="center"/>
    </xf>
    <xf numFmtId="166" fontId="7" fillId="0" borderId="13" xfId="0" applyNumberFormat="1" applyFont="1" applyBorder="1" applyAlignment="1">
      <alignment horizontal="center" vertical="center"/>
    </xf>
    <xf numFmtId="10" fontId="7" fillId="0" borderId="14" xfId="0" applyNumberFormat="1" applyFont="1" applyBorder="1" applyAlignment="1">
      <alignment horizontal="center" vertical="center"/>
    </xf>
    <xf numFmtId="0" fontId="32" fillId="0" borderId="0" xfId="0" applyFont="1" applyAlignment="1">
      <alignment horizontal="center" vertical="center" wrapText="1"/>
    </xf>
    <xf numFmtId="0" fontId="31" fillId="0" borderId="2" xfId="0" applyFont="1" applyBorder="1" applyAlignment="1">
      <alignment horizontal="center" vertical="center" wrapText="1"/>
    </xf>
    <xf numFmtId="0" fontId="31" fillId="0" borderId="3"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5"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6" xfId="0" applyFont="1" applyBorder="1" applyAlignment="1">
      <alignment horizontal="center" vertical="center" wrapText="1"/>
    </xf>
    <xf numFmtId="0" fontId="32" fillId="0" borderId="77"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83" xfId="0" applyFont="1" applyBorder="1" applyAlignment="1">
      <alignment horizontal="center" vertical="center" wrapText="1"/>
    </xf>
    <xf numFmtId="0" fontId="32" fillId="0" borderId="84" xfId="0" applyFont="1" applyBorder="1" applyAlignment="1">
      <alignment horizontal="left" vertical="center" wrapText="1"/>
    </xf>
    <xf numFmtId="0" fontId="32" fillId="0" borderId="84" xfId="0" applyFont="1" applyBorder="1" applyAlignment="1">
      <alignment horizontal="center" vertical="center" wrapText="1"/>
    </xf>
    <xf numFmtId="0" fontId="32" fillId="0" borderId="85" xfId="0" applyFont="1" applyBorder="1" applyAlignment="1">
      <alignment horizontal="center" vertical="center" wrapText="1"/>
    </xf>
    <xf numFmtId="167" fontId="7" fillId="0" borderId="16" xfId="0" applyNumberFormat="1" applyFont="1" applyBorder="1" applyAlignment="1">
      <alignment horizontal="center" vertical="center"/>
    </xf>
    <xf numFmtId="167"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2" fontId="7" fillId="0" borderId="18" xfId="0" applyNumberFormat="1" applyFont="1" applyBorder="1" applyAlignment="1">
      <alignment horizontal="center" vertical="center"/>
    </xf>
    <xf numFmtId="2" fontId="7" fillId="0" borderId="12" xfId="0" applyNumberFormat="1" applyFont="1" applyBorder="1" applyAlignment="1">
      <alignment horizontal="center" vertical="center"/>
    </xf>
    <xf numFmtId="167" fontId="7" fillId="0" borderId="13" xfId="0" applyNumberFormat="1" applyFont="1" applyBorder="1" applyAlignment="1">
      <alignment horizontal="center" vertical="center"/>
    </xf>
    <xf numFmtId="165" fontId="7" fillId="0" borderId="19" xfId="0" applyNumberFormat="1" applyFont="1" applyBorder="1" applyAlignment="1">
      <alignment horizontal="center" vertical="center"/>
    </xf>
    <xf numFmtId="165" fontId="7" fillId="0" borderId="13" xfId="0" applyNumberFormat="1" applyFont="1" applyBorder="1" applyAlignment="1">
      <alignment horizontal="center" vertical="center"/>
    </xf>
    <xf numFmtId="0" fontId="7" fillId="0" borderId="21" xfId="0" applyFont="1" applyBorder="1" applyAlignment="1">
      <alignment horizontal="center" vertical="center" wrapText="1"/>
    </xf>
    <xf numFmtId="165" fontId="7" fillId="0" borderId="12" xfId="0" applyNumberFormat="1" applyFont="1" applyBorder="1" applyAlignment="1">
      <alignment horizontal="center" vertical="center"/>
    </xf>
    <xf numFmtId="0" fontId="7" fillId="2" borderId="7" xfId="0" applyFont="1" applyFill="1" applyBorder="1" applyAlignment="1">
      <alignment horizontal="center" vertical="center"/>
    </xf>
    <xf numFmtId="0" fontId="6" fillId="2" borderId="0" xfId="0" applyFont="1" applyFill="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7" fillId="0" borderId="16" xfId="0" applyFont="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8" fillId="2"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1" xfId="0" applyFont="1" applyBorder="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16" fillId="0" borderId="0" xfId="0" applyFont="1" applyFill="1" applyBorder="1" applyAlignment="1">
      <alignment horizontal="center" vertical="center" wrapText="1"/>
    </xf>
    <xf numFmtId="0" fontId="7" fillId="0" borderId="24" xfId="0" applyFont="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49" fontId="7" fillId="0" borderId="16" xfId="0" applyNumberFormat="1" applyFont="1" applyBorder="1" applyAlignment="1">
      <alignment horizontal="center" vertical="center"/>
    </xf>
    <xf numFmtId="49" fontId="7" fillId="0" borderId="18" xfId="0" applyNumberFormat="1"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7" xfId="0" applyNumberFormat="1" applyFont="1" applyBorder="1" applyAlignment="1">
      <alignment horizontal="center" vertical="center"/>
    </xf>
    <xf numFmtId="0" fontId="24" fillId="0" borderId="13" xfId="0" applyFont="1" applyBorder="1" applyAlignment="1">
      <alignment horizontal="center" vertical="center"/>
    </xf>
    <xf numFmtId="0" fontId="24" fillId="0" borderId="14"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20"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3" fillId="0" borderId="17" xfId="0" applyFont="1" applyBorder="1" applyAlignment="1">
      <alignment horizontal="center" vertical="center"/>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4" fillId="2" borderId="0" xfId="0" applyFont="1" applyFill="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4" fillId="0" borderId="0" xfId="0" applyFont="1" applyFill="1" applyAlignment="1">
      <alignment horizontal="center" vertical="center" wrapText="1"/>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0" fontId="8" fillId="0" borderId="31"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6" fontId="7" fillId="0" borderId="65" xfId="0" applyNumberFormat="1" applyFont="1" applyBorder="1" applyAlignment="1">
      <alignment horizontal="center" vertical="center"/>
    </xf>
    <xf numFmtId="166" fontId="7" fillId="0" borderId="67" xfId="0" applyNumberFormat="1" applyFont="1" applyBorder="1" applyAlignment="1">
      <alignment horizontal="center" vertical="center"/>
    </xf>
    <xf numFmtId="165" fontId="7" fillId="0" borderId="15" xfId="0" applyNumberFormat="1" applyFont="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7" fillId="0" borderId="9"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165" fontId="7" fillId="0" borderId="24" xfId="0" applyNumberFormat="1" applyFont="1" applyBorder="1" applyAlignment="1">
      <alignment horizontal="center" vertical="center"/>
    </xf>
    <xf numFmtId="165" fontId="7" fillId="0" borderId="26" xfId="0" applyNumberFormat="1" applyFont="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14" fontId="7" fillId="0" borderId="10" xfId="0" applyNumberFormat="1" applyFont="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3" xfId="0" applyFont="1" applyFill="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0" fontId="32" fillId="0" borderId="78"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9" xfId="0" applyFont="1" applyBorder="1" applyAlignment="1">
      <alignment horizontal="left" vertical="center" wrapText="1"/>
    </xf>
    <xf numFmtId="0" fontId="32" fillId="0" borderId="80" xfId="0" applyFont="1" applyBorder="1" applyAlignment="1">
      <alignment horizontal="center" vertical="center" wrapText="1"/>
    </xf>
    <xf numFmtId="0" fontId="32" fillId="0" borderId="81" xfId="0" applyFont="1" applyBorder="1" applyAlignment="1">
      <alignment horizontal="center" vertical="center" wrapText="1"/>
    </xf>
    <xf numFmtId="0" fontId="32" fillId="0" borderId="82" xfId="0" applyFont="1" applyBorder="1" applyAlignment="1">
      <alignment horizontal="center" vertical="center" wrapText="1"/>
    </xf>
    <xf numFmtId="0" fontId="31" fillId="0" borderId="1" xfId="0" applyFont="1" applyBorder="1" applyAlignment="1">
      <alignment horizontal="center" vertical="center" wrapText="1"/>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7" xfId="0" applyFont="1" applyBorder="1" applyAlignment="1">
      <alignment horizontal="left" vertical="center" wrapText="1"/>
    </xf>
    <xf numFmtId="0" fontId="32" fillId="0" borderId="63" xfId="0" applyFont="1" applyBorder="1" applyAlignment="1">
      <alignment horizontal="center" vertical="center" wrapText="1"/>
    </xf>
    <xf numFmtId="0" fontId="32" fillId="0" borderId="49" xfId="0" applyFont="1" applyBorder="1" applyAlignment="1">
      <alignment horizontal="center" vertical="center" wrapText="1"/>
    </xf>
    <xf numFmtId="0" fontId="32" fillId="0" borderId="6"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7" xfId="0" applyFont="1" applyBorder="1" applyAlignment="1">
      <alignment horizontal="left" vertical="center" wrapText="1"/>
    </xf>
    <xf numFmtId="0" fontId="32" fillId="0" borderId="8" xfId="0" applyFont="1" applyBorder="1" applyAlignment="1">
      <alignment horizontal="left" vertical="center" wrapText="1"/>
    </xf>
    <xf numFmtId="0" fontId="32" fillId="0" borderId="49" xfId="0" applyFont="1" applyBorder="1" applyAlignment="1">
      <alignment horizontal="left" vertical="center" wrapText="1"/>
    </xf>
    <xf numFmtId="0" fontId="32" fillId="0" borderId="50" xfId="0" applyFont="1" applyBorder="1" applyAlignment="1">
      <alignment horizontal="left" vertical="center" wrapText="1"/>
    </xf>
    <xf numFmtId="0" fontId="31" fillId="0" borderId="2"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10" xfId="0" applyFont="1" applyBorder="1" applyAlignment="1">
      <alignment horizontal="center" vertical="center" wrapText="1"/>
    </xf>
    <xf numFmtId="0" fontId="31" fillId="0" borderId="11" xfId="0" applyFont="1" applyBorder="1" applyAlignment="1">
      <alignment horizontal="center" vertical="center" wrapText="1"/>
    </xf>
    <xf numFmtId="0" fontId="32" fillId="0" borderId="1" xfId="0" applyFont="1" applyBorder="1" applyAlignment="1">
      <alignment horizontal="center" vertical="center" wrapText="1"/>
    </xf>
    <xf numFmtId="14" fontId="32" fillId="0" borderId="49" xfId="0" applyNumberFormat="1" applyFont="1" applyBorder="1" applyAlignment="1">
      <alignment horizontal="left" vertical="center" wrapText="1"/>
    </xf>
    <xf numFmtId="0" fontId="32" fillId="0" borderId="2" xfId="0" applyFont="1" applyBorder="1" applyAlignment="1">
      <alignment horizontal="left" vertical="center" wrapText="1"/>
    </xf>
    <xf numFmtId="0" fontId="32" fillId="0" borderId="3" xfId="0" applyFont="1" applyBorder="1" applyAlignment="1">
      <alignment horizontal="left"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cellXfs>
  <cellStyles count="1">
    <cellStyle name="Normal" xfId="0" builtinId="0"/>
  </cellStyles>
  <dxfs count="50">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25072816"/>
        <c:axId val="525073376"/>
      </c:scatterChart>
      <c:valAx>
        <c:axId val="52507281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5073376"/>
        <c:crosses val="autoZero"/>
        <c:crossBetween val="midCat"/>
      </c:valAx>
      <c:valAx>
        <c:axId val="525073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507281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dLbls>
          <c:showLegendKey val="0"/>
          <c:showVal val="0"/>
          <c:showCatName val="0"/>
          <c:showSerName val="0"/>
          <c:showPercent val="0"/>
          <c:showBubbleSize val="0"/>
        </c:dLbls>
        <c:axId val="525077296"/>
        <c:axId val="525077856"/>
      </c:scatterChart>
      <c:valAx>
        <c:axId val="52507729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5077856"/>
        <c:crosses val="autoZero"/>
        <c:crossBetween val="midCat"/>
      </c:valAx>
      <c:valAx>
        <c:axId val="525077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507729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25082336"/>
        <c:axId val="395764736"/>
      </c:scatterChart>
      <c:valAx>
        <c:axId val="52508233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5764736"/>
        <c:crosses val="autoZero"/>
        <c:crossBetween val="midCat"/>
      </c:valAx>
      <c:valAx>
        <c:axId val="395764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508233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395772016"/>
        <c:axId val="395771456"/>
      </c:scatterChart>
      <c:valAx>
        <c:axId val="39577201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5771456"/>
        <c:crosses val="autoZero"/>
        <c:crossBetween val="midCat"/>
      </c:valAx>
      <c:valAx>
        <c:axId val="3957714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577201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395767536"/>
        <c:axId val="395766976"/>
      </c:scatterChart>
      <c:valAx>
        <c:axId val="39576753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5766976"/>
        <c:crosses val="autoZero"/>
        <c:crossBetween val="midCat"/>
      </c:valAx>
      <c:valAx>
        <c:axId val="395766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576753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395763616"/>
        <c:axId val="522607184"/>
      </c:scatterChart>
      <c:valAx>
        <c:axId val="39576361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2607184"/>
        <c:crosses val="autoZero"/>
        <c:crossBetween val="midCat"/>
      </c:valAx>
      <c:valAx>
        <c:axId val="522607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9576361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2"/>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22602704"/>
        <c:axId val="522602144"/>
      </c:scatterChart>
      <c:valAx>
        <c:axId val="52260270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2602144"/>
        <c:crosses val="autoZero"/>
        <c:crossBetween val="midCat"/>
      </c:valAx>
      <c:valAx>
        <c:axId val="522602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260270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2"/>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22598224"/>
        <c:axId val="522597664"/>
      </c:scatterChart>
      <c:valAx>
        <c:axId val="52259822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2597664"/>
        <c:crosses val="autoZero"/>
        <c:crossBetween val="midCat"/>
      </c:valAx>
      <c:valAx>
        <c:axId val="52259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259822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AFAL'!$A$77:$M$77</c:f>
          <c:strCache>
            <c:ptCount val="13"/>
            <c:pt idx="0">
              <c:v>Calibration Data: As Found /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AFAL'!$E$79:$E$99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AFAL'!$E$79:$E$99</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'Single, Plain, Unc., AFAL'!$A$79:$A$99</c:f>
              <c:numCache>
                <c:formatCode>0.000</c:formatCode>
                <c:ptCount val="21"/>
              </c:numCache>
            </c:numRef>
          </c:xVal>
          <c:yVal>
            <c:numRef>
              <c:f>'Single, Plain, Unc., AFAL'!$H$79:$H$99</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AFAL'!$A$79:$A$99</c:f>
              <c:numCache>
                <c:formatCode>0.000</c:formatCode>
                <c:ptCount val="21"/>
              </c:numCache>
            </c:numRef>
          </c:xVal>
          <c:yVal>
            <c:numRef>
              <c:f>'Single, Plain, Unc., AFAL'!$Q$79:$Q$99</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AFAL'!$A$79:$A$99</c:f>
              <c:numCache>
                <c:formatCode>0.000</c:formatCode>
                <c:ptCount val="21"/>
              </c:numCache>
            </c:numRef>
          </c:xVal>
          <c:yVal>
            <c:numRef>
              <c:f>'Single, Plain, Unc., AFAL'!$P$79:$P$99</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307650944"/>
        <c:axId val="307657104"/>
      </c:scatterChart>
      <c:valAx>
        <c:axId val="307650944"/>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07657104"/>
        <c:crosses val="autoZero"/>
        <c:crossBetween val="midCat"/>
      </c:valAx>
      <c:valAx>
        <c:axId val="307657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0765094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AFAL'!$A$148:$M$148</c:f>
          <c:strCache>
            <c:ptCount val="13"/>
            <c:pt idx="0">
              <c:v>Calibration Data: As Found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x"/>
            <c:errBarType val="both"/>
            <c:errValType val="cust"/>
            <c:noEndCap val="0"/>
            <c:plus>
              <c:numRef>
                <c:f>'Single, Plain, Unc., AFAL'!$E$150:$E$170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AFAL'!$E$150:$E$170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xVal>
            <c:numRef>
              <c:f>'Single, Plain, Unc., AFAL'!$A$150:$A$170</c:f>
              <c:numCache>
                <c:formatCode>General</c:formatCode>
                <c:ptCount val="21"/>
              </c:numCache>
            </c:numRef>
          </c:xVal>
          <c:yVal>
            <c:numRef>
              <c:f>'Single, Plain, Unc., AFAL'!$H$150:$H$170</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AFAL'!$Q$150:$Q$170</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AFAL'!$A$150:$A$170</c:f>
              <c:numCache>
                <c:formatCode>General</c:formatCode>
                <c:ptCount val="21"/>
              </c:numCache>
            </c:numRef>
          </c:xVal>
          <c:yVal>
            <c:numRef>
              <c:f>'Single, Plain, Unc., AFAL'!$P$150:$P$170</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307656544"/>
        <c:axId val="307651504"/>
      </c:scatterChart>
      <c:valAx>
        <c:axId val="307656544"/>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07651504"/>
        <c:crosses val="autoZero"/>
        <c:crossBetween val="midCat"/>
      </c:valAx>
      <c:valAx>
        <c:axId val="307651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30765654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1.jpeg"/><Relationship Id="rId5" Type="http://schemas.openxmlformats.org/officeDocument/2006/relationships/image" Target="../media/image4.png"/><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442606" cy="1224642"/>
    <xdr:pic>
      <xdr:nvPicPr>
        <xdr:cNvPr id="8" name="Picture 3"/>
        <xdr:cNvPicPr/>
      </xdr:nvPicPr>
      <xdr:blipFill>
        <a:blip xmlns:r="http://schemas.openxmlformats.org/officeDocument/2006/relationships" r:embed="rId1"/>
        <a:stretch>
          <a:fillRect/>
        </a:stretch>
      </xdr:blipFill>
      <xdr:spPr>
        <a:xfrm>
          <a:off x="0" y="0"/>
          <a:ext cx="3442606" cy="1224642"/>
        </a:xfrm>
        <a:prstGeom prst="rect">
          <a:avLst/>
        </a:prstGeom>
        <a:ln>
          <a:noFill/>
        </a:ln>
      </xdr:spPr>
    </xdr:pic>
    <xdr:clientData/>
  </xdr:oneCellAnchor>
  <xdr:twoCellAnchor>
    <xdr:from>
      <xdr:col>1</xdr:col>
      <xdr:colOff>1</xdr:colOff>
      <xdr:row>99</xdr:row>
      <xdr:rowOff>200024</xdr:rowOff>
    </xdr:from>
    <xdr:to>
      <xdr:col>11</xdr:col>
      <xdr:colOff>857250</xdr:colOff>
      <xdr:row>119</xdr:row>
      <xdr:rowOff>190499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13607</xdr:colOff>
      <xdr:row>171</xdr:row>
      <xdr:rowOff>27214</xdr:rowOff>
    </xdr:from>
    <xdr:to>
      <xdr:col>12</xdr:col>
      <xdr:colOff>980</xdr:colOff>
      <xdr:row>190</xdr:row>
      <xdr:rowOff>194581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217714</xdr:colOff>
      <xdr:row>68</xdr:row>
      <xdr:rowOff>13608</xdr:rowOff>
    </xdr:from>
    <xdr:to>
      <xdr:col>3</xdr:col>
      <xdr:colOff>693964</xdr:colOff>
      <xdr:row>74</xdr:row>
      <xdr:rowOff>14368</xdr:rowOff>
    </xdr:to>
    <xdr:pic>
      <xdr:nvPicPr>
        <xdr:cNvPr id="3" name="Picture 2"/>
        <xdr:cNvPicPr>
          <a:picLocks noChangeAspect="1"/>
        </xdr:cNvPicPr>
      </xdr:nvPicPr>
      <xdr:blipFill>
        <a:blip xmlns:r="http://schemas.openxmlformats.org/officeDocument/2006/relationships" r:embed="rId4"/>
        <a:stretch>
          <a:fillRect/>
        </a:stretch>
      </xdr:blipFill>
      <xdr:spPr>
        <a:xfrm>
          <a:off x="217714" y="17022537"/>
          <a:ext cx="3088821" cy="1225402"/>
        </a:xfrm>
        <a:prstGeom prst="rect">
          <a:avLst/>
        </a:prstGeom>
      </xdr:spPr>
    </xdr:pic>
    <xdr:clientData/>
  </xdr:twoCellAnchor>
  <xdr:twoCellAnchor editAs="oneCell">
    <xdr:from>
      <xdr:col>0</xdr:col>
      <xdr:colOff>231322</xdr:colOff>
      <xdr:row>139</xdr:row>
      <xdr:rowOff>0</xdr:rowOff>
    </xdr:from>
    <xdr:to>
      <xdr:col>3</xdr:col>
      <xdr:colOff>703594</xdr:colOff>
      <xdr:row>145</xdr:row>
      <xdr:rowOff>68795</xdr:rowOff>
    </xdr:to>
    <xdr:pic>
      <xdr:nvPicPr>
        <xdr:cNvPr id="14" name="Picture 13"/>
        <xdr:cNvPicPr>
          <a:picLocks noChangeAspect="1"/>
        </xdr:cNvPicPr>
      </xdr:nvPicPr>
      <xdr:blipFill>
        <a:blip xmlns:r="http://schemas.openxmlformats.org/officeDocument/2006/relationships" r:embed="rId5"/>
        <a:stretch>
          <a:fillRect/>
        </a:stretch>
      </xdr:blipFill>
      <xdr:spPr>
        <a:xfrm>
          <a:off x="231322" y="32330571"/>
          <a:ext cx="3084843" cy="122540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4</xdr:row>
      <xdr:rowOff>0</xdr:rowOff>
    </xdr:from>
    <xdr:to>
      <xdr:col>4</xdr:col>
      <xdr:colOff>4893735</xdr:colOff>
      <xdr:row>4</xdr:row>
      <xdr:rowOff>3898672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8000" y="2286000"/>
          <a:ext cx="11000318"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10"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4" y="14275594"/>
          <a:ext cx="14301259" cy="20502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83608</xdr:rowOff>
    </xdr:to>
    <xdr:pic>
      <xdr:nvPicPr>
        <xdr:cNvPr id="11"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4950" y="16467667"/>
          <a:ext cx="14306550" cy="1268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164306</xdr:rowOff>
    </xdr:to>
    <xdr:pic>
      <xdr:nvPicPr>
        <xdr:cNvPr id="13" name="Picture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564" y="19300032"/>
          <a:ext cx="8428252" cy="1197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54768</xdr:rowOff>
    </xdr:to>
    <xdr:pic>
      <xdr:nvPicPr>
        <xdr:cNvPr id="14" name="Picture 1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79782" y="19288125"/>
          <a:ext cx="9309947" cy="1187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6" name="Picture 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2719" y="31563469"/>
          <a:ext cx="14294644"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3">
      <c r="A1" s="260" t="s">
        <v>28</v>
      </c>
      <c r="B1" s="261"/>
      <c r="C1" s="261"/>
      <c r="D1" s="261"/>
      <c r="E1" s="261"/>
      <c r="F1" s="262"/>
      <c r="G1" s="260" t="s">
        <v>29</v>
      </c>
      <c r="H1" s="261"/>
      <c r="I1" s="261"/>
      <c r="J1" s="261"/>
      <c r="K1" s="261"/>
      <c r="L1" s="262"/>
      <c r="M1" s="9"/>
    </row>
    <row r="2" spans="1:13" ht="18.75" customHeight="1" x14ac:dyDescent="0.25">
      <c r="A2" s="272" t="s">
        <v>31</v>
      </c>
      <c r="B2" s="270"/>
      <c r="C2" s="283"/>
      <c r="D2" s="283"/>
      <c r="E2" s="283"/>
      <c r="F2" s="284"/>
      <c r="G2" s="272" t="s">
        <v>36</v>
      </c>
      <c r="H2" s="270"/>
      <c r="I2" s="275"/>
      <c r="J2" s="275"/>
      <c r="K2" s="275"/>
      <c r="L2" s="276"/>
      <c r="M2" s="9"/>
    </row>
    <row r="3" spans="1:13" ht="18.75" customHeight="1" x14ac:dyDescent="0.25">
      <c r="A3" s="245" t="s">
        <v>32</v>
      </c>
      <c r="B3" s="246"/>
      <c r="C3" s="247"/>
      <c r="D3" s="247"/>
      <c r="E3" s="247"/>
      <c r="F3" s="269"/>
      <c r="G3" s="245" t="s">
        <v>37</v>
      </c>
      <c r="H3" s="246"/>
      <c r="I3" s="247"/>
      <c r="J3" s="247"/>
      <c r="K3" s="247"/>
      <c r="L3" s="269"/>
      <c r="M3" s="9"/>
    </row>
    <row r="4" spans="1:13" ht="18.75" customHeight="1" x14ac:dyDescent="0.25">
      <c r="A4" s="245"/>
      <c r="B4" s="246"/>
      <c r="C4" s="247"/>
      <c r="D4" s="247"/>
      <c r="E4" s="247"/>
      <c r="F4" s="269"/>
      <c r="G4" s="245" t="s">
        <v>38</v>
      </c>
      <c r="H4" s="246"/>
      <c r="I4" s="247"/>
      <c r="J4" s="247"/>
      <c r="K4" s="247"/>
      <c r="L4" s="269"/>
      <c r="M4" s="9"/>
    </row>
    <row r="5" spans="1:13" ht="18.75" customHeight="1" x14ac:dyDescent="0.25">
      <c r="A5" s="245"/>
      <c r="B5" s="246"/>
      <c r="C5" s="247"/>
      <c r="D5" s="247"/>
      <c r="E5" s="247"/>
      <c r="F5" s="269"/>
      <c r="G5" s="245" t="s">
        <v>39</v>
      </c>
      <c r="H5" s="246"/>
      <c r="I5" s="247" t="s">
        <v>50</v>
      </c>
      <c r="J5" s="247"/>
      <c r="K5" s="247"/>
      <c r="L5" s="269"/>
      <c r="M5" s="9"/>
    </row>
    <row r="6" spans="1:13" ht="18.75" customHeight="1" x14ac:dyDescent="0.25">
      <c r="A6" s="245"/>
      <c r="B6" s="246"/>
      <c r="C6" s="247"/>
      <c r="D6" s="247"/>
      <c r="E6" s="247"/>
      <c r="F6" s="269"/>
      <c r="G6" s="245" t="s">
        <v>34</v>
      </c>
      <c r="H6" s="246"/>
      <c r="I6" s="279"/>
      <c r="J6" s="279"/>
      <c r="K6" s="279"/>
      <c r="L6" s="280"/>
      <c r="M6" s="9"/>
    </row>
    <row r="7" spans="1:13" ht="18.75" customHeight="1" thickBot="1" x14ac:dyDescent="0.3">
      <c r="A7" s="277" t="s">
        <v>33</v>
      </c>
      <c r="B7" s="278"/>
      <c r="C7" s="266"/>
      <c r="D7" s="266"/>
      <c r="E7" s="266"/>
      <c r="F7" s="268"/>
      <c r="G7" s="277" t="s">
        <v>35</v>
      </c>
      <c r="H7" s="278"/>
      <c r="I7" s="281"/>
      <c r="J7" s="281"/>
      <c r="K7" s="281"/>
      <c r="L7" s="282"/>
      <c r="M7" s="9"/>
    </row>
    <row r="8" spans="1:13" ht="15.75" customHeight="1" x14ac:dyDescent="0.25">
      <c r="A8" s="9"/>
      <c r="B8" s="9"/>
      <c r="C8" s="9"/>
      <c r="D8" s="9"/>
      <c r="E8" s="9"/>
      <c r="F8" s="9"/>
      <c r="G8" s="9"/>
      <c r="H8" s="9"/>
      <c r="I8" s="9"/>
      <c r="J8" s="9"/>
      <c r="K8" s="9"/>
      <c r="L8" s="9"/>
      <c r="M8" s="11"/>
    </row>
    <row r="9" spans="1:13" ht="20.25" customHeight="1" x14ac:dyDescent="0.25">
      <c r="A9" s="285" t="s">
        <v>52</v>
      </c>
      <c r="B9" s="285"/>
      <c r="C9" s="285"/>
      <c r="D9" s="285"/>
      <c r="E9" s="285"/>
      <c r="F9" s="285"/>
      <c r="G9" s="285"/>
      <c r="H9" s="285"/>
      <c r="I9" s="285"/>
      <c r="J9" s="285"/>
      <c r="K9" s="285"/>
      <c r="L9" s="285"/>
      <c r="M9" s="11"/>
    </row>
    <row r="10" spans="1:13" ht="20.25" customHeight="1" x14ac:dyDescent="0.25">
      <c r="A10" s="285"/>
      <c r="B10" s="285"/>
      <c r="C10" s="285"/>
      <c r="D10" s="285"/>
      <c r="E10" s="285"/>
      <c r="F10" s="285"/>
      <c r="G10" s="285"/>
      <c r="H10" s="285"/>
      <c r="I10" s="285"/>
      <c r="J10" s="285"/>
      <c r="K10" s="285"/>
      <c r="L10" s="285"/>
      <c r="M10" s="11"/>
    </row>
    <row r="11" spans="1:13" ht="15.75" customHeight="1" thickBot="1" x14ac:dyDescent="0.3">
      <c r="A11" s="9"/>
      <c r="B11" s="9"/>
      <c r="C11" s="9"/>
      <c r="D11" s="9"/>
      <c r="E11" s="9"/>
      <c r="F11" s="9"/>
      <c r="G11" s="9"/>
      <c r="H11" s="9"/>
      <c r="I11" s="9"/>
      <c r="J11" s="9"/>
      <c r="K11" s="9"/>
      <c r="L11" s="9"/>
      <c r="M11" s="11"/>
    </row>
    <row r="12" spans="1:13" ht="19.5" customHeight="1" thickBot="1" x14ac:dyDescent="0.3">
      <c r="A12" s="260" t="s">
        <v>20</v>
      </c>
      <c r="B12" s="261"/>
      <c r="C12" s="261"/>
      <c r="D12" s="261"/>
      <c r="E12" s="261"/>
      <c r="F12" s="261"/>
      <c r="G12" s="261"/>
      <c r="H12" s="261"/>
      <c r="I12" s="261"/>
      <c r="J12" s="261"/>
      <c r="K12" s="261"/>
      <c r="L12" s="262"/>
      <c r="M12" s="9"/>
    </row>
    <row r="13" spans="1:13" ht="19.5" customHeight="1" x14ac:dyDescent="0.25">
      <c r="A13" s="272" t="s">
        <v>23</v>
      </c>
      <c r="B13" s="270"/>
      <c r="C13" s="270"/>
      <c r="D13" s="270"/>
      <c r="E13" s="270" t="s">
        <v>22</v>
      </c>
      <c r="F13" s="270"/>
      <c r="G13" s="270" t="s">
        <v>21</v>
      </c>
      <c r="H13" s="270"/>
      <c r="I13" s="270" t="s">
        <v>53</v>
      </c>
      <c r="J13" s="270"/>
      <c r="K13" s="270" t="s">
        <v>54</v>
      </c>
      <c r="L13" s="271"/>
      <c r="M13" s="9"/>
    </row>
    <row r="14" spans="1:13" ht="19.5" customHeight="1" x14ac:dyDescent="0.25">
      <c r="A14" s="259"/>
      <c r="B14" s="247"/>
      <c r="C14" s="247"/>
      <c r="D14" s="247"/>
      <c r="E14" s="247"/>
      <c r="F14" s="247"/>
      <c r="G14" s="247"/>
      <c r="H14" s="247"/>
      <c r="I14" s="247"/>
      <c r="J14" s="247"/>
      <c r="K14" s="247"/>
      <c r="L14" s="269"/>
      <c r="M14" s="9"/>
    </row>
    <row r="15" spans="1:13" ht="19.5" customHeight="1" x14ac:dyDescent="0.25">
      <c r="A15" s="259"/>
      <c r="B15" s="247"/>
      <c r="C15" s="247"/>
      <c r="D15" s="247"/>
      <c r="E15" s="247"/>
      <c r="F15" s="247"/>
      <c r="G15" s="247"/>
      <c r="H15" s="247"/>
      <c r="I15" s="247"/>
      <c r="J15" s="247"/>
      <c r="K15" s="247"/>
      <c r="L15" s="269"/>
      <c r="M15" s="9"/>
    </row>
    <row r="16" spans="1:13" ht="19.5" customHeight="1" x14ac:dyDescent="0.25">
      <c r="A16" s="259"/>
      <c r="B16" s="247"/>
      <c r="C16" s="247"/>
      <c r="D16" s="247"/>
      <c r="E16" s="247"/>
      <c r="F16" s="247"/>
      <c r="G16" s="247"/>
      <c r="H16" s="247"/>
      <c r="I16" s="247"/>
      <c r="J16" s="247"/>
      <c r="K16" s="247"/>
      <c r="L16" s="269"/>
      <c r="M16" s="9"/>
    </row>
    <row r="17" spans="1:13" ht="19.5" customHeight="1" x14ac:dyDescent="0.25">
      <c r="A17" s="259"/>
      <c r="B17" s="247"/>
      <c r="C17" s="247"/>
      <c r="D17" s="247"/>
      <c r="E17" s="247"/>
      <c r="F17" s="247"/>
      <c r="G17" s="247"/>
      <c r="H17" s="247"/>
      <c r="I17" s="247"/>
      <c r="J17" s="247"/>
      <c r="K17" s="247"/>
      <c r="L17" s="269"/>
      <c r="M17" s="9"/>
    </row>
    <row r="18" spans="1:13" ht="19.5" customHeight="1" thickBot="1" x14ac:dyDescent="0.3">
      <c r="A18" s="267"/>
      <c r="B18" s="266"/>
      <c r="C18" s="266"/>
      <c r="D18" s="266"/>
      <c r="E18" s="266"/>
      <c r="F18" s="266"/>
      <c r="G18" s="266"/>
      <c r="H18" s="266"/>
      <c r="I18" s="266"/>
      <c r="J18" s="266"/>
      <c r="K18" s="266"/>
      <c r="L18" s="268"/>
      <c r="M18" s="9"/>
    </row>
    <row r="19" spans="1:13" ht="15.75" customHeight="1" thickBot="1" x14ac:dyDescent="0.3">
      <c r="A19" s="9"/>
      <c r="B19" s="9"/>
      <c r="C19" s="9"/>
      <c r="D19" s="9"/>
      <c r="E19" s="9"/>
      <c r="F19" s="9"/>
      <c r="G19" s="9"/>
      <c r="H19" s="9"/>
      <c r="I19" s="9"/>
      <c r="J19" s="9"/>
      <c r="K19" s="9"/>
      <c r="L19" s="9"/>
      <c r="M19" s="11"/>
    </row>
    <row r="20" spans="1:13" ht="18.75" customHeight="1" thickBot="1" x14ac:dyDescent="0.3">
      <c r="A20" s="260" t="s">
        <v>13</v>
      </c>
      <c r="B20" s="261"/>
      <c r="C20" s="261"/>
      <c r="D20" s="261"/>
      <c r="E20" s="261"/>
      <c r="F20" s="261"/>
      <c r="G20" s="261"/>
      <c r="H20" s="261"/>
      <c r="I20" s="261"/>
      <c r="J20" s="261"/>
      <c r="K20" s="261"/>
      <c r="L20" s="262"/>
      <c r="M20" s="9"/>
    </row>
    <row r="21" spans="1:13" ht="18.75" customHeight="1" x14ac:dyDescent="0.25">
      <c r="A21" s="272" t="s">
        <v>30</v>
      </c>
      <c r="B21" s="270"/>
      <c r="C21" s="283"/>
      <c r="D21" s="283"/>
      <c r="E21" s="283"/>
      <c r="F21" s="283"/>
      <c r="G21" s="283"/>
      <c r="H21" s="283"/>
      <c r="I21" s="270" t="s">
        <v>25</v>
      </c>
      <c r="J21" s="270"/>
      <c r="K21" s="283"/>
      <c r="L21" s="284"/>
      <c r="M21" s="9"/>
    </row>
    <row r="22" spans="1:13" ht="18.75" customHeight="1" x14ac:dyDescent="0.25">
      <c r="A22" s="245" t="s">
        <v>15</v>
      </c>
      <c r="B22" s="246"/>
      <c r="C22" s="247"/>
      <c r="D22" s="247"/>
      <c r="E22" s="246" t="s">
        <v>16</v>
      </c>
      <c r="F22" s="246"/>
      <c r="G22" s="247"/>
      <c r="H22" s="247"/>
      <c r="I22" s="246" t="s">
        <v>18</v>
      </c>
      <c r="J22" s="246"/>
      <c r="K22" s="247"/>
      <c r="L22" s="269"/>
      <c r="M22" s="9"/>
    </row>
    <row r="23" spans="1:13" ht="18.75" customHeight="1" x14ac:dyDescent="0.25">
      <c r="A23" s="245" t="s">
        <v>14</v>
      </c>
      <c r="B23" s="246"/>
      <c r="C23" s="247"/>
      <c r="D23" s="247"/>
      <c r="E23" s="246" t="s">
        <v>42</v>
      </c>
      <c r="F23" s="246"/>
      <c r="G23" s="247"/>
      <c r="H23" s="247"/>
      <c r="I23" s="246" t="s">
        <v>43</v>
      </c>
      <c r="J23" s="246"/>
      <c r="K23" s="247"/>
      <c r="L23" s="269"/>
      <c r="M23" s="9"/>
    </row>
    <row r="24" spans="1:13" ht="18.75" customHeight="1" x14ac:dyDescent="0.25">
      <c r="A24" s="245" t="s">
        <v>17</v>
      </c>
      <c r="B24" s="246"/>
      <c r="C24" s="247"/>
      <c r="D24" s="247"/>
      <c r="E24" s="246" t="s">
        <v>26</v>
      </c>
      <c r="F24" s="246"/>
      <c r="G24" s="247"/>
      <c r="H24" s="247"/>
      <c r="I24" s="246" t="s">
        <v>27</v>
      </c>
      <c r="J24" s="246"/>
      <c r="K24" s="247"/>
      <c r="L24" s="269"/>
      <c r="M24" s="9"/>
    </row>
    <row r="25" spans="1:13" ht="33" customHeight="1" thickBot="1" x14ac:dyDescent="0.3">
      <c r="A25" s="277" t="s">
        <v>19</v>
      </c>
      <c r="B25" s="278"/>
      <c r="C25" s="266"/>
      <c r="D25" s="266"/>
      <c r="E25" s="266"/>
      <c r="F25" s="266"/>
      <c r="G25" s="266"/>
      <c r="H25" s="266"/>
      <c r="I25" s="266"/>
      <c r="J25" s="266"/>
      <c r="K25" s="266"/>
      <c r="L25" s="268"/>
      <c r="M25" s="9"/>
    </row>
    <row r="26" spans="1:13" ht="15.75" customHeight="1" thickBot="1" x14ac:dyDescent="0.3">
      <c r="A26" s="12"/>
      <c r="B26" s="12"/>
      <c r="C26" s="12"/>
      <c r="D26" s="12"/>
      <c r="E26" s="12"/>
      <c r="F26" s="12"/>
      <c r="G26" s="12"/>
      <c r="H26" s="12"/>
      <c r="I26" s="12"/>
      <c r="J26" s="12"/>
      <c r="K26" s="12"/>
      <c r="L26" s="12"/>
      <c r="M26" s="11"/>
    </row>
    <row r="27" spans="1:13" ht="19.5" customHeight="1" thickBot="1" x14ac:dyDescent="0.3">
      <c r="A27" s="260" t="s">
        <v>7</v>
      </c>
      <c r="B27" s="261"/>
      <c r="C27" s="261"/>
      <c r="D27" s="261"/>
      <c r="E27" s="261"/>
      <c r="F27" s="261"/>
      <c r="G27" s="261"/>
      <c r="H27" s="261"/>
      <c r="I27" s="261"/>
      <c r="J27" s="261"/>
      <c r="K27" s="261"/>
      <c r="L27" s="262"/>
      <c r="M27" s="9"/>
    </row>
    <row r="28" spans="1:13" ht="19.5" customHeight="1" thickBot="1" x14ac:dyDescent="0.3">
      <c r="A28" s="263" t="s">
        <v>8</v>
      </c>
      <c r="B28" s="264"/>
      <c r="C28" s="24"/>
      <c r="D28" s="264" t="s">
        <v>9</v>
      </c>
      <c r="E28" s="264"/>
      <c r="F28" s="24"/>
      <c r="G28" s="264" t="s">
        <v>10</v>
      </c>
      <c r="H28" s="264"/>
      <c r="I28" s="24"/>
      <c r="J28" s="264" t="s">
        <v>11</v>
      </c>
      <c r="K28" s="264"/>
      <c r="L28" s="25"/>
      <c r="M28" s="9"/>
    </row>
    <row r="29" spans="1:13" ht="15.75" customHeight="1" thickBot="1" x14ac:dyDescent="0.3">
      <c r="A29" s="9"/>
      <c r="B29" s="9"/>
      <c r="C29" s="9"/>
      <c r="D29" s="9"/>
      <c r="E29" s="9"/>
      <c r="F29" s="9"/>
      <c r="G29" s="9"/>
      <c r="H29" s="9"/>
      <c r="I29" s="9"/>
      <c r="J29" s="9"/>
      <c r="K29" s="9"/>
      <c r="L29" s="9"/>
      <c r="M29" s="11"/>
    </row>
    <row r="30" spans="1:13" ht="18.75" customHeight="1" thickBot="1" x14ac:dyDescent="0.3">
      <c r="A30" s="9"/>
      <c r="B30" s="260" t="s">
        <v>44</v>
      </c>
      <c r="C30" s="261"/>
      <c r="D30" s="261"/>
      <c r="E30" s="261"/>
      <c r="F30" s="261"/>
      <c r="G30" s="261"/>
      <c r="H30" s="261"/>
      <c r="I30" s="261"/>
      <c r="J30" s="261"/>
      <c r="K30" s="262"/>
      <c r="L30" s="9"/>
      <c r="M30" s="9"/>
    </row>
    <row r="31" spans="1:13" ht="36" customHeight="1" x14ac:dyDescent="0.25">
      <c r="A31" s="9"/>
      <c r="B31" s="273" t="s">
        <v>0</v>
      </c>
      <c r="C31" s="274"/>
      <c r="D31" s="274" t="s">
        <v>2</v>
      </c>
      <c r="E31" s="274"/>
      <c r="F31" s="26" t="s">
        <v>1</v>
      </c>
      <c r="G31" s="274" t="s">
        <v>3</v>
      </c>
      <c r="H31" s="274"/>
      <c r="I31" s="274" t="s">
        <v>5</v>
      </c>
      <c r="J31" s="274"/>
      <c r="K31" s="27" t="s">
        <v>4</v>
      </c>
      <c r="L31" s="9"/>
      <c r="M31" s="9"/>
    </row>
    <row r="32" spans="1:13" ht="18.75" customHeight="1" x14ac:dyDescent="0.25">
      <c r="A32" s="9"/>
      <c r="B32" s="259"/>
      <c r="C32" s="247"/>
      <c r="D32" s="247"/>
      <c r="E32" s="247"/>
      <c r="F32" s="28"/>
      <c r="G32" s="247" t="str">
        <f>IF(B32="","",B32-D32)</f>
        <v/>
      </c>
      <c r="H32" s="247"/>
      <c r="I32" s="247"/>
      <c r="J32" s="247"/>
      <c r="K32" s="21" t="str">
        <f>IF(G32="","",IF(AND(G32&gt;=-I32,G32&lt;=I32),"Pass","Fail"))</f>
        <v/>
      </c>
      <c r="L32" s="9"/>
      <c r="M32" s="9"/>
    </row>
    <row r="33" spans="1:13" ht="18.75" customHeight="1" x14ac:dyDescent="0.25">
      <c r="A33" s="9"/>
      <c r="B33" s="259"/>
      <c r="C33" s="247"/>
      <c r="D33" s="247"/>
      <c r="E33" s="247"/>
      <c r="F33" s="28"/>
      <c r="G33" s="247" t="str">
        <f t="shared" ref="G33:G40" si="0">IF(B33="","",B33-D33)</f>
        <v/>
      </c>
      <c r="H33" s="247"/>
      <c r="I33" s="247"/>
      <c r="J33" s="247"/>
      <c r="K33" s="21" t="str">
        <f t="shared" ref="K33:K40" si="1">IF(G33="","",IF(AND(G33&gt;=-I33,G33&lt;=I33),"Pass","Fail"))</f>
        <v/>
      </c>
      <c r="L33" s="9"/>
      <c r="M33" s="9"/>
    </row>
    <row r="34" spans="1:13" ht="18.75" customHeight="1" x14ac:dyDescent="0.25">
      <c r="A34" s="9"/>
      <c r="B34" s="259"/>
      <c r="C34" s="247"/>
      <c r="D34" s="247"/>
      <c r="E34" s="247"/>
      <c r="F34" s="28"/>
      <c r="G34" s="247" t="str">
        <f t="shared" si="0"/>
        <v/>
      </c>
      <c r="H34" s="247"/>
      <c r="I34" s="247"/>
      <c r="J34" s="247"/>
      <c r="K34" s="21" t="str">
        <f t="shared" si="1"/>
        <v/>
      </c>
      <c r="L34" s="9"/>
      <c r="M34" s="9"/>
    </row>
    <row r="35" spans="1:13" ht="18.75" customHeight="1" x14ac:dyDescent="0.25">
      <c r="A35" s="9"/>
      <c r="B35" s="259"/>
      <c r="C35" s="247"/>
      <c r="D35" s="247"/>
      <c r="E35" s="247"/>
      <c r="F35" s="28"/>
      <c r="G35" s="247" t="str">
        <f t="shared" si="0"/>
        <v/>
      </c>
      <c r="H35" s="247"/>
      <c r="I35" s="247"/>
      <c r="J35" s="247"/>
      <c r="K35" s="21" t="str">
        <f t="shared" si="1"/>
        <v/>
      </c>
      <c r="L35" s="9"/>
      <c r="M35" s="9"/>
    </row>
    <row r="36" spans="1:13" ht="18.75" customHeight="1" x14ac:dyDescent="0.25">
      <c r="A36" s="9"/>
      <c r="B36" s="259"/>
      <c r="C36" s="247"/>
      <c r="D36" s="247"/>
      <c r="E36" s="247"/>
      <c r="F36" s="28"/>
      <c r="G36" s="247" t="str">
        <f t="shared" si="0"/>
        <v/>
      </c>
      <c r="H36" s="247"/>
      <c r="I36" s="247"/>
      <c r="J36" s="247"/>
      <c r="K36" s="21" t="str">
        <f t="shared" si="1"/>
        <v/>
      </c>
      <c r="L36" s="9"/>
      <c r="M36" s="9"/>
    </row>
    <row r="37" spans="1:13" ht="18.75" customHeight="1" x14ac:dyDescent="0.25">
      <c r="A37" s="9"/>
      <c r="B37" s="259"/>
      <c r="C37" s="247"/>
      <c r="D37" s="247"/>
      <c r="E37" s="247"/>
      <c r="F37" s="28"/>
      <c r="G37" s="247" t="str">
        <f t="shared" si="0"/>
        <v/>
      </c>
      <c r="H37" s="247"/>
      <c r="I37" s="247"/>
      <c r="J37" s="247"/>
      <c r="K37" s="21" t="str">
        <f t="shared" si="1"/>
        <v/>
      </c>
      <c r="L37" s="9"/>
      <c r="M37" s="9"/>
    </row>
    <row r="38" spans="1:13" ht="18.75" customHeight="1" x14ac:dyDescent="0.25">
      <c r="A38" s="9"/>
      <c r="B38" s="259"/>
      <c r="C38" s="247"/>
      <c r="D38" s="247"/>
      <c r="E38" s="247"/>
      <c r="F38" s="28"/>
      <c r="G38" s="247" t="str">
        <f t="shared" si="0"/>
        <v/>
      </c>
      <c r="H38" s="247"/>
      <c r="I38" s="247"/>
      <c r="J38" s="247"/>
      <c r="K38" s="21" t="str">
        <f t="shared" si="1"/>
        <v/>
      </c>
      <c r="L38" s="9"/>
      <c r="M38" s="9"/>
    </row>
    <row r="39" spans="1:13" ht="18.75" customHeight="1" x14ac:dyDescent="0.25">
      <c r="A39" s="9"/>
      <c r="B39" s="259"/>
      <c r="C39" s="247"/>
      <c r="D39" s="247"/>
      <c r="E39" s="247"/>
      <c r="F39" s="28"/>
      <c r="G39" s="247" t="str">
        <f t="shared" si="0"/>
        <v/>
      </c>
      <c r="H39" s="247"/>
      <c r="I39" s="247"/>
      <c r="J39" s="247"/>
      <c r="K39" s="21" t="str">
        <f t="shared" si="1"/>
        <v/>
      </c>
      <c r="L39" s="9"/>
      <c r="M39" s="9"/>
    </row>
    <row r="40" spans="1:13" ht="18.75" customHeight="1" thickBot="1" x14ac:dyDescent="0.3">
      <c r="A40" s="9"/>
      <c r="B40" s="267"/>
      <c r="C40" s="266"/>
      <c r="D40" s="266"/>
      <c r="E40" s="266"/>
      <c r="F40" s="29"/>
      <c r="G40" s="266" t="str">
        <f t="shared" si="0"/>
        <v/>
      </c>
      <c r="H40" s="266"/>
      <c r="I40" s="266"/>
      <c r="J40" s="266"/>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260" t="s">
        <v>24</v>
      </c>
      <c r="B42" s="261"/>
      <c r="C42" s="261"/>
      <c r="D42" s="261"/>
      <c r="E42" s="261"/>
      <c r="F42" s="261"/>
      <c r="G42" s="261"/>
      <c r="H42" s="261"/>
      <c r="I42" s="261"/>
      <c r="J42" s="261"/>
      <c r="K42" s="261"/>
      <c r="L42" s="262"/>
      <c r="M42" s="9"/>
    </row>
    <row r="43" spans="1:13" ht="15.75" customHeight="1" x14ac:dyDescent="0.25">
      <c r="A43" s="250"/>
      <c r="B43" s="251"/>
      <c r="C43" s="251"/>
      <c r="D43" s="251"/>
      <c r="E43" s="251"/>
      <c r="F43" s="251"/>
      <c r="G43" s="251"/>
      <c r="H43" s="251"/>
      <c r="I43" s="251"/>
      <c r="J43" s="251"/>
      <c r="K43" s="251"/>
      <c r="L43" s="252"/>
      <c r="M43" s="9"/>
    </row>
    <row r="44" spans="1:13" ht="15.75" customHeight="1" x14ac:dyDescent="0.25">
      <c r="A44" s="253"/>
      <c r="B44" s="254"/>
      <c r="C44" s="254"/>
      <c r="D44" s="254"/>
      <c r="E44" s="254"/>
      <c r="F44" s="254"/>
      <c r="G44" s="254"/>
      <c r="H44" s="254"/>
      <c r="I44" s="254"/>
      <c r="J44" s="254"/>
      <c r="K44" s="254"/>
      <c r="L44" s="255"/>
      <c r="M44" s="9"/>
    </row>
    <row r="45" spans="1:13" ht="15.75" customHeight="1" thickBot="1" x14ac:dyDescent="0.3">
      <c r="A45" s="256"/>
      <c r="B45" s="257"/>
      <c r="C45" s="257"/>
      <c r="D45" s="257"/>
      <c r="E45" s="257"/>
      <c r="F45" s="257"/>
      <c r="G45" s="257"/>
      <c r="H45" s="257"/>
      <c r="I45" s="257"/>
      <c r="J45" s="257"/>
      <c r="K45" s="257"/>
      <c r="L45" s="258"/>
      <c r="M45" s="9"/>
    </row>
    <row r="46" spans="1:13" ht="15.75" customHeight="1" x14ac:dyDescent="0.25">
      <c r="A46" s="9"/>
      <c r="B46" s="9"/>
      <c r="C46" s="9"/>
      <c r="D46" s="9"/>
      <c r="E46" s="9"/>
      <c r="F46" s="9"/>
      <c r="G46" s="9"/>
      <c r="H46" s="9"/>
      <c r="I46" s="9"/>
      <c r="J46" s="9"/>
      <c r="K46" s="9"/>
      <c r="L46" s="9"/>
      <c r="M46" s="11"/>
    </row>
    <row r="47" spans="1:13" ht="21" customHeight="1" x14ac:dyDescent="0.25">
      <c r="A47" s="248" t="s">
        <v>47</v>
      </c>
      <c r="B47" s="249"/>
      <c r="C47" s="249"/>
      <c r="D47" s="249"/>
      <c r="E47" s="249"/>
      <c r="F47" s="249"/>
      <c r="G47" s="249"/>
      <c r="H47" s="249"/>
      <c r="I47" s="249"/>
      <c r="J47" s="249"/>
      <c r="K47" s="249"/>
      <c r="L47" s="249"/>
      <c r="M47" s="11"/>
    </row>
    <row r="48" spans="1:13" ht="21" customHeight="1" x14ac:dyDescent="0.25">
      <c r="A48" s="249"/>
      <c r="B48" s="249"/>
      <c r="C48" s="249"/>
      <c r="D48" s="249"/>
      <c r="E48" s="249"/>
      <c r="F48" s="249"/>
      <c r="G48" s="249"/>
      <c r="H48" s="249"/>
      <c r="I48" s="249"/>
      <c r="J48" s="249"/>
      <c r="K48" s="249"/>
      <c r="L48" s="249"/>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244" t="s">
        <v>12</v>
      </c>
      <c r="B51" s="244"/>
      <c r="C51" s="243"/>
      <c r="D51" s="243"/>
      <c r="E51" s="243"/>
      <c r="F51" s="14"/>
      <c r="G51" s="244" t="s">
        <v>40</v>
      </c>
      <c r="H51" s="244"/>
      <c r="I51" s="243"/>
      <c r="J51" s="243"/>
      <c r="K51" s="243"/>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244" t="s">
        <v>49</v>
      </c>
      <c r="B53" s="244"/>
      <c r="C53" s="243"/>
      <c r="D53" s="243"/>
      <c r="E53" s="243"/>
      <c r="F53" s="9"/>
      <c r="G53" s="244" t="s">
        <v>41</v>
      </c>
      <c r="H53" s="244"/>
      <c r="I53" s="243"/>
      <c r="J53" s="243"/>
      <c r="K53" s="243"/>
      <c r="L53" s="9"/>
      <c r="M53" s="11"/>
    </row>
    <row r="54" spans="1:13" ht="15.75" customHeight="1" x14ac:dyDescent="0.25">
      <c r="A54" s="265"/>
      <c r="B54" s="265"/>
      <c r="C54" s="265"/>
      <c r="D54" s="265"/>
      <c r="E54" s="265"/>
      <c r="F54" s="265"/>
      <c r="G54" s="265"/>
      <c r="H54" s="265"/>
      <c r="I54" s="265"/>
      <c r="J54" s="265"/>
      <c r="K54" s="265"/>
      <c r="L54" s="265"/>
    </row>
    <row r="55" spans="1:13" ht="15.75" customHeight="1" x14ac:dyDescent="0.25">
      <c r="A55" s="13"/>
      <c r="B55" s="13"/>
      <c r="C55" s="13"/>
      <c r="D55" s="13"/>
      <c r="E55" s="13"/>
      <c r="F55" s="13"/>
      <c r="G55" s="13"/>
      <c r="H55" s="13"/>
      <c r="I55" s="13"/>
      <c r="J55" s="13"/>
      <c r="K55" s="13"/>
      <c r="L55" s="13"/>
    </row>
  </sheetData>
  <mergeCells count="138">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B34:C34"/>
    <mergeCell ref="B35:C35"/>
    <mergeCell ref="G32:H32"/>
    <mergeCell ref="G33:H33"/>
    <mergeCell ref="G34:H34"/>
    <mergeCell ref="G35:H35"/>
    <mergeCell ref="A16:D16"/>
    <mergeCell ref="A17:D17"/>
    <mergeCell ref="A18:D18"/>
    <mergeCell ref="A23:B23"/>
    <mergeCell ref="B31:C31"/>
    <mergeCell ref="D31:E31"/>
    <mergeCell ref="G31:H31"/>
    <mergeCell ref="K18:L18"/>
    <mergeCell ref="K17:L17"/>
    <mergeCell ref="K16:L16"/>
    <mergeCell ref="K15:L15"/>
    <mergeCell ref="K14:L14"/>
    <mergeCell ref="A12:L12"/>
    <mergeCell ref="K13:L13"/>
    <mergeCell ref="I13:J13"/>
    <mergeCell ref="G13:H13"/>
    <mergeCell ref="E13:F13"/>
    <mergeCell ref="A13:D13"/>
    <mergeCell ref="A15:D15"/>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s>
  <conditionalFormatting sqref="K32:K40">
    <cfRule type="containsText" dxfId="49" priority="2" operator="containsText" text="Fail">
      <formula>NOT(ISERROR(SEARCH("Fail",K32)))</formula>
    </cfRule>
    <cfRule type="containsText" dxfId="48"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289"/>
      <c r="B1" s="289"/>
      <c r="C1" s="289"/>
      <c r="D1" s="289"/>
      <c r="E1" s="290" t="s">
        <v>48</v>
      </c>
      <c r="F1" s="290"/>
      <c r="G1" s="290"/>
      <c r="H1" s="290"/>
      <c r="I1" s="290"/>
      <c r="J1" s="290"/>
      <c r="K1" s="290"/>
      <c r="L1" s="290"/>
    </row>
    <row r="2" spans="1:13" s="32" customFormat="1" ht="15" x14ac:dyDescent="0.25">
      <c r="A2" s="289"/>
      <c r="B2" s="289"/>
      <c r="C2" s="289"/>
      <c r="D2" s="289"/>
      <c r="E2" s="290"/>
      <c r="F2" s="290"/>
      <c r="G2" s="290"/>
      <c r="H2" s="290"/>
      <c r="I2" s="290"/>
      <c r="J2" s="290"/>
      <c r="K2" s="290"/>
      <c r="L2" s="290"/>
    </row>
    <row r="3" spans="1:13" s="32" customFormat="1" ht="15" x14ac:dyDescent="0.25">
      <c r="A3" s="289"/>
      <c r="B3" s="289"/>
      <c r="C3" s="289"/>
      <c r="D3" s="289"/>
      <c r="E3" s="290"/>
      <c r="F3" s="290"/>
      <c r="G3" s="290"/>
      <c r="H3" s="290"/>
      <c r="I3" s="290"/>
      <c r="J3" s="290"/>
      <c r="K3" s="290"/>
      <c r="L3" s="290"/>
    </row>
    <row r="4" spans="1:13" s="32" customFormat="1" ht="15" x14ac:dyDescent="0.25">
      <c r="A4" s="289"/>
      <c r="B4" s="289"/>
      <c r="C4" s="289"/>
      <c r="D4" s="289"/>
      <c r="E4" s="291" t="s">
        <v>51</v>
      </c>
      <c r="F4" s="291"/>
      <c r="G4" s="291"/>
      <c r="H4" s="291"/>
      <c r="I4" s="291"/>
      <c r="J4" s="291"/>
      <c r="K4" s="291"/>
      <c r="L4" s="291"/>
    </row>
    <row r="5" spans="1:13" s="32" customFormat="1" ht="15" x14ac:dyDescent="0.25">
      <c r="A5" s="289"/>
      <c r="B5" s="289"/>
      <c r="C5" s="289"/>
      <c r="D5" s="289"/>
      <c r="E5" s="291"/>
      <c r="F5" s="291"/>
      <c r="G5" s="291"/>
      <c r="H5" s="291"/>
      <c r="I5" s="291"/>
      <c r="J5" s="291"/>
      <c r="K5" s="291"/>
      <c r="L5" s="291"/>
    </row>
    <row r="6" spans="1:13" s="32" customFormat="1" ht="15" x14ac:dyDescent="0.25">
      <c r="E6" s="291"/>
      <c r="F6" s="291"/>
      <c r="G6" s="291"/>
      <c r="H6" s="291"/>
      <c r="I6" s="291"/>
      <c r="J6" s="291"/>
      <c r="K6" s="291"/>
      <c r="L6" s="291"/>
    </row>
    <row r="7" spans="1:13" s="32" customFormat="1" ht="24" thickBot="1" x14ac:dyDescent="0.3">
      <c r="E7" s="43"/>
      <c r="F7" s="43"/>
      <c r="G7" s="43"/>
      <c r="H7" s="43"/>
      <c r="I7" s="43"/>
      <c r="J7" s="43"/>
      <c r="K7" s="43"/>
      <c r="L7" s="43"/>
    </row>
    <row r="8" spans="1:13" ht="18.75" customHeight="1" thickBot="1" x14ac:dyDescent="0.3">
      <c r="A8" s="260" t="s">
        <v>28</v>
      </c>
      <c r="B8" s="261"/>
      <c r="C8" s="261"/>
      <c r="D8" s="261"/>
      <c r="E8" s="261"/>
      <c r="F8" s="262"/>
      <c r="G8" s="260" t="s">
        <v>29</v>
      </c>
      <c r="H8" s="261"/>
      <c r="I8" s="261"/>
      <c r="J8" s="261"/>
      <c r="K8" s="261"/>
      <c r="L8" s="262"/>
      <c r="M8" s="37"/>
    </row>
    <row r="9" spans="1:13" ht="18.75" customHeight="1" x14ac:dyDescent="0.25">
      <c r="A9" s="272" t="s">
        <v>31</v>
      </c>
      <c r="B9" s="270"/>
      <c r="C9" s="283"/>
      <c r="D9" s="283"/>
      <c r="E9" s="283"/>
      <c r="F9" s="284"/>
      <c r="G9" s="272" t="s">
        <v>36</v>
      </c>
      <c r="H9" s="270"/>
      <c r="I9" s="275"/>
      <c r="J9" s="275"/>
      <c r="K9" s="275"/>
      <c r="L9" s="276"/>
      <c r="M9" s="37"/>
    </row>
    <row r="10" spans="1:13" ht="18.75" customHeight="1" x14ac:dyDescent="0.25">
      <c r="A10" s="245" t="s">
        <v>32</v>
      </c>
      <c r="B10" s="246"/>
      <c r="C10" s="247"/>
      <c r="D10" s="247"/>
      <c r="E10" s="247"/>
      <c r="F10" s="269"/>
      <c r="G10" s="245" t="s">
        <v>37</v>
      </c>
      <c r="H10" s="246"/>
      <c r="I10" s="247"/>
      <c r="J10" s="247"/>
      <c r="K10" s="247"/>
      <c r="L10" s="269"/>
      <c r="M10" s="37"/>
    </row>
    <row r="11" spans="1:13" ht="18.75" customHeight="1" x14ac:dyDescent="0.25">
      <c r="A11" s="245"/>
      <c r="B11" s="246"/>
      <c r="C11" s="247"/>
      <c r="D11" s="247"/>
      <c r="E11" s="247"/>
      <c r="F11" s="269"/>
      <c r="G11" s="245" t="s">
        <v>38</v>
      </c>
      <c r="H11" s="246"/>
      <c r="I11" s="247"/>
      <c r="J11" s="247"/>
      <c r="K11" s="247"/>
      <c r="L11" s="269"/>
      <c r="M11" s="37"/>
    </row>
    <row r="12" spans="1:13" ht="18.75" customHeight="1" x14ac:dyDescent="0.25">
      <c r="A12" s="245"/>
      <c r="B12" s="246"/>
      <c r="C12" s="247"/>
      <c r="D12" s="247"/>
      <c r="E12" s="247"/>
      <c r="F12" s="269"/>
      <c r="G12" s="245" t="s">
        <v>39</v>
      </c>
      <c r="H12" s="246"/>
      <c r="I12" s="247" t="s">
        <v>50</v>
      </c>
      <c r="J12" s="247"/>
      <c r="K12" s="247"/>
      <c r="L12" s="269"/>
      <c r="M12" s="37"/>
    </row>
    <row r="13" spans="1:13" ht="18.75" customHeight="1" x14ac:dyDescent="0.25">
      <c r="A13" s="245"/>
      <c r="B13" s="246"/>
      <c r="C13" s="247"/>
      <c r="D13" s="247"/>
      <c r="E13" s="247"/>
      <c r="F13" s="269"/>
      <c r="G13" s="245" t="s">
        <v>34</v>
      </c>
      <c r="H13" s="246"/>
      <c r="I13" s="279"/>
      <c r="J13" s="279"/>
      <c r="K13" s="279"/>
      <c r="L13" s="280"/>
      <c r="M13" s="37"/>
    </row>
    <row r="14" spans="1:13" ht="18.75" customHeight="1" thickBot="1" x14ac:dyDescent="0.3">
      <c r="A14" s="277" t="s">
        <v>33</v>
      </c>
      <c r="B14" s="278"/>
      <c r="C14" s="266"/>
      <c r="D14" s="266"/>
      <c r="E14" s="266"/>
      <c r="F14" s="268"/>
      <c r="G14" s="277" t="s">
        <v>35</v>
      </c>
      <c r="H14" s="278"/>
      <c r="I14" s="281"/>
      <c r="J14" s="281"/>
      <c r="K14" s="281"/>
      <c r="L14" s="282"/>
      <c r="M14" s="37"/>
    </row>
    <row r="15" spans="1:13" ht="15.75" customHeight="1" x14ac:dyDescent="0.25">
      <c r="A15" s="37"/>
      <c r="B15" s="37"/>
      <c r="C15" s="37"/>
      <c r="D15" s="37"/>
      <c r="E15" s="37"/>
      <c r="F15" s="37"/>
      <c r="G15" s="37"/>
      <c r="H15" s="37"/>
      <c r="I15" s="37"/>
      <c r="J15" s="37"/>
      <c r="K15" s="37"/>
      <c r="L15" s="37"/>
      <c r="M15" s="39"/>
    </row>
    <row r="16" spans="1:13" ht="20.25" customHeight="1" x14ac:dyDescent="0.25">
      <c r="A16" s="292" t="s">
        <v>52</v>
      </c>
      <c r="B16" s="292"/>
      <c r="C16" s="292"/>
      <c r="D16" s="292"/>
      <c r="E16" s="292"/>
      <c r="F16" s="292"/>
      <c r="G16" s="292"/>
      <c r="H16" s="292"/>
      <c r="I16" s="292"/>
      <c r="J16" s="292"/>
      <c r="K16" s="292"/>
      <c r="L16" s="292"/>
      <c r="M16" s="39"/>
    </row>
    <row r="17" spans="1:13" ht="20.25" customHeight="1" x14ac:dyDescent="0.25">
      <c r="A17" s="292"/>
      <c r="B17" s="292"/>
      <c r="C17" s="292"/>
      <c r="D17" s="292"/>
      <c r="E17" s="292"/>
      <c r="F17" s="292"/>
      <c r="G17" s="292"/>
      <c r="H17" s="292"/>
      <c r="I17" s="292"/>
      <c r="J17" s="292"/>
      <c r="K17" s="292"/>
      <c r="L17" s="292"/>
      <c r="M17" s="39"/>
    </row>
    <row r="18" spans="1:13" ht="15.75" customHeight="1" thickBot="1" x14ac:dyDescent="0.3">
      <c r="A18" s="37"/>
      <c r="B18" s="37"/>
      <c r="C18" s="37"/>
      <c r="D18" s="37"/>
      <c r="E18" s="37"/>
      <c r="F18" s="37"/>
      <c r="G18" s="37"/>
      <c r="H18" s="37"/>
      <c r="I18" s="37"/>
      <c r="J18" s="37"/>
      <c r="K18" s="37"/>
      <c r="L18" s="37"/>
      <c r="M18" s="39"/>
    </row>
    <row r="19" spans="1:13" ht="19.5" customHeight="1" thickBot="1" x14ac:dyDescent="0.3">
      <c r="A19" s="260" t="s">
        <v>20</v>
      </c>
      <c r="B19" s="261"/>
      <c r="C19" s="261"/>
      <c r="D19" s="261"/>
      <c r="E19" s="261"/>
      <c r="F19" s="261"/>
      <c r="G19" s="261"/>
      <c r="H19" s="261"/>
      <c r="I19" s="261"/>
      <c r="J19" s="261"/>
      <c r="K19" s="261"/>
      <c r="L19" s="262"/>
      <c r="M19" s="37"/>
    </row>
    <row r="20" spans="1:13" ht="19.5" customHeight="1" x14ac:dyDescent="0.25">
      <c r="A20" s="272" t="s">
        <v>23</v>
      </c>
      <c r="B20" s="270"/>
      <c r="C20" s="270"/>
      <c r="D20" s="270"/>
      <c r="E20" s="270" t="s">
        <v>22</v>
      </c>
      <c r="F20" s="270"/>
      <c r="G20" s="270" t="s">
        <v>21</v>
      </c>
      <c r="H20" s="270"/>
      <c r="I20" s="270" t="s">
        <v>53</v>
      </c>
      <c r="J20" s="270"/>
      <c r="K20" s="270" t="s">
        <v>54</v>
      </c>
      <c r="L20" s="271"/>
      <c r="M20" s="37"/>
    </row>
    <row r="21" spans="1:13" ht="19.5" customHeight="1" x14ac:dyDescent="0.25">
      <c r="A21" s="259"/>
      <c r="B21" s="247"/>
      <c r="C21" s="247"/>
      <c r="D21" s="247"/>
      <c r="E21" s="247"/>
      <c r="F21" s="247"/>
      <c r="G21" s="247"/>
      <c r="H21" s="247"/>
      <c r="I21" s="247"/>
      <c r="J21" s="247"/>
      <c r="K21" s="247"/>
      <c r="L21" s="269"/>
      <c r="M21" s="37"/>
    </row>
    <row r="22" spans="1:13" ht="19.5" customHeight="1" x14ac:dyDescent="0.25">
      <c r="A22" s="259"/>
      <c r="B22" s="247"/>
      <c r="C22" s="247"/>
      <c r="D22" s="247"/>
      <c r="E22" s="247"/>
      <c r="F22" s="247"/>
      <c r="G22" s="247"/>
      <c r="H22" s="247"/>
      <c r="I22" s="247"/>
      <c r="J22" s="247"/>
      <c r="K22" s="247"/>
      <c r="L22" s="269"/>
      <c r="M22" s="37"/>
    </row>
    <row r="23" spans="1:13" ht="19.5" customHeight="1" x14ac:dyDescent="0.25">
      <c r="A23" s="259"/>
      <c r="B23" s="247"/>
      <c r="C23" s="247"/>
      <c r="D23" s="247"/>
      <c r="E23" s="247"/>
      <c r="F23" s="247"/>
      <c r="G23" s="247"/>
      <c r="H23" s="247"/>
      <c r="I23" s="247"/>
      <c r="J23" s="247"/>
      <c r="K23" s="247"/>
      <c r="L23" s="269"/>
      <c r="M23" s="37"/>
    </row>
    <row r="24" spans="1:13" ht="19.5" customHeight="1" x14ac:dyDescent="0.25">
      <c r="A24" s="259"/>
      <c r="B24" s="247"/>
      <c r="C24" s="247"/>
      <c r="D24" s="247"/>
      <c r="E24" s="247"/>
      <c r="F24" s="247"/>
      <c r="G24" s="247"/>
      <c r="H24" s="247"/>
      <c r="I24" s="247"/>
      <c r="J24" s="247"/>
      <c r="K24" s="247"/>
      <c r="L24" s="269"/>
      <c r="M24" s="37"/>
    </row>
    <row r="25" spans="1:13" ht="19.5" customHeight="1" thickBot="1" x14ac:dyDescent="0.3">
      <c r="A25" s="267"/>
      <c r="B25" s="266"/>
      <c r="C25" s="266"/>
      <c r="D25" s="266"/>
      <c r="E25" s="266"/>
      <c r="F25" s="266"/>
      <c r="G25" s="266"/>
      <c r="H25" s="266"/>
      <c r="I25" s="266"/>
      <c r="J25" s="266"/>
      <c r="K25" s="266"/>
      <c r="L25" s="268"/>
      <c r="M25" s="37"/>
    </row>
    <row r="26" spans="1:13" ht="15.75" customHeight="1" thickBot="1" x14ac:dyDescent="0.3">
      <c r="A26" s="37"/>
      <c r="B26" s="37"/>
      <c r="C26" s="37"/>
      <c r="D26" s="37"/>
      <c r="E26" s="37"/>
      <c r="F26" s="37"/>
      <c r="G26" s="37"/>
      <c r="H26" s="37"/>
      <c r="I26" s="37"/>
      <c r="J26" s="37"/>
      <c r="K26" s="37"/>
      <c r="L26" s="37"/>
      <c r="M26" s="39"/>
    </row>
    <row r="27" spans="1:13" ht="18.75" customHeight="1" thickBot="1" x14ac:dyDescent="0.3">
      <c r="A27" s="260" t="s">
        <v>13</v>
      </c>
      <c r="B27" s="261"/>
      <c r="C27" s="261"/>
      <c r="D27" s="261"/>
      <c r="E27" s="261"/>
      <c r="F27" s="261"/>
      <c r="G27" s="261"/>
      <c r="H27" s="261"/>
      <c r="I27" s="261"/>
      <c r="J27" s="261"/>
      <c r="K27" s="261"/>
      <c r="L27" s="262"/>
      <c r="M27" s="37"/>
    </row>
    <row r="28" spans="1:13" ht="18.75" customHeight="1" x14ac:dyDescent="0.25">
      <c r="A28" s="272" t="s">
        <v>30</v>
      </c>
      <c r="B28" s="270"/>
      <c r="C28" s="283"/>
      <c r="D28" s="283"/>
      <c r="E28" s="283"/>
      <c r="F28" s="283"/>
      <c r="G28" s="283"/>
      <c r="H28" s="283"/>
      <c r="I28" s="270" t="s">
        <v>25</v>
      </c>
      <c r="J28" s="270"/>
      <c r="K28" s="283"/>
      <c r="L28" s="284"/>
      <c r="M28" s="37"/>
    </row>
    <row r="29" spans="1:13" ht="18.75" customHeight="1" x14ac:dyDescent="0.25">
      <c r="A29" s="245" t="s">
        <v>15</v>
      </c>
      <c r="B29" s="246"/>
      <c r="C29" s="247"/>
      <c r="D29" s="247"/>
      <c r="E29" s="246" t="s">
        <v>16</v>
      </c>
      <c r="F29" s="246"/>
      <c r="G29" s="247"/>
      <c r="H29" s="247"/>
      <c r="I29" s="246" t="s">
        <v>18</v>
      </c>
      <c r="J29" s="246"/>
      <c r="K29" s="247"/>
      <c r="L29" s="269"/>
      <c r="M29" s="37"/>
    </row>
    <row r="30" spans="1:13" ht="18.75" customHeight="1" x14ac:dyDescent="0.25">
      <c r="A30" s="245" t="s">
        <v>14</v>
      </c>
      <c r="B30" s="246"/>
      <c r="C30" s="247"/>
      <c r="D30" s="247"/>
      <c r="E30" s="246" t="s">
        <v>42</v>
      </c>
      <c r="F30" s="246"/>
      <c r="G30" s="247"/>
      <c r="H30" s="247"/>
      <c r="I30" s="246" t="s">
        <v>43</v>
      </c>
      <c r="J30" s="246"/>
      <c r="K30" s="247"/>
      <c r="L30" s="269"/>
      <c r="M30" s="37"/>
    </row>
    <row r="31" spans="1:13" ht="18.75" customHeight="1" x14ac:dyDescent="0.25">
      <c r="A31" s="245" t="s">
        <v>17</v>
      </c>
      <c r="B31" s="246"/>
      <c r="C31" s="247"/>
      <c r="D31" s="247"/>
      <c r="E31" s="246" t="s">
        <v>26</v>
      </c>
      <c r="F31" s="246"/>
      <c r="G31" s="247"/>
      <c r="H31" s="247"/>
      <c r="I31" s="246" t="s">
        <v>27</v>
      </c>
      <c r="J31" s="246"/>
      <c r="K31" s="247"/>
      <c r="L31" s="269"/>
      <c r="M31" s="37"/>
    </row>
    <row r="32" spans="1:13" ht="33" customHeight="1" thickBot="1" x14ac:dyDescent="0.3">
      <c r="A32" s="277" t="s">
        <v>19</v>
      </c>
      <c r="B32" s="278"/>
      <c r="C32" s="266"/>
      <c r="D32" s="266"/>
      <c r="E32" s="266"/>
      <c r="F32" s="266"/>
      <c r="G32" s="266"/>
      <c r="H32" s="266"/>
      <c r="I32" s="266"/>
      <c r="J32" s="266"/>
      <c r="K32" s="266"/>
      <c r="L32" s="268"/>
      <c r="M32" s="37"/>
    </row>
    <row r="33" spans="1:13" ht="15.75" customHeight="1" thickBot="1" x14ac:dyDescent="0.3">
      <c r="A33" s="38"/>
      <c r="B33" s="38"/>
      <c r="C33" s="38"/>
      <c r="D33" s="38"/>
      <c r="E33" s="38"/>
      <c r="F33" s="38"/>
      <c r="G33" s="38"/>
      <c r="H33" s="38"/>
      <c r="I33" s="38"/>
      <c r="J33" s="38"/>
      <c r="K33" s="38"/>
      <c r="L33" s="38"/>
      <c r="M33" s="39"/>
    </row>
    <row r="34" spans="1:13" ht="19.5" customHeight="1" thickBot="1" x14ac:dyDescent="0.3">
      <c r="A34" s="260" t="s">
        <v>7</v>
      </c>
      <c r="B34" s="261"/>
      <c r="C34" s="261"/>
      <c r="D34" s="261"/>
      <c r="E34" s="261"/>
      <c r="F34" s="261"/>
      <c r="G34" s="261"/>
      <c r="H34" s="261"/>
      <c r="I34" s="261"/>
      <c r="J34" s="261"/>
      <c r="K34" s="261"/>
      <c r="L34" s="262"/>
      <c r="M34" s="37"/>
    </row>
    <row r="35" spans="1:13" ht="19.5" customHeight="1" thickBot="1" x14ac:dyDescent="0.3">
      <c r="A35" s="263" t="s">
        <v>8</v>
      </c>
      <c r="B35" s="264"/>
      <c r="C35" s="24"/>
      <c r="D35" s="264" t="s">
        <v>9</v>
      </c>
      <c r="E35" s="264"/>
      <c r="F35" s="24"/>
      <c r="G35" s="264" t="s">
        <v>10</v>
      </c>
      <c r="H35" s="264"/>
      <c r="I35" s="24"/>
      <c r="J35" s="264" t="s">
        <v>11</v>
      </c>
      <c r="K35" s="264"/>
      <c r="L35" s="25"/>
      <c r="M35" s="37"/>
    </row>
    <row r="36" spans="1:13" ht="15.75" customHeight="1" thickBot="1" x14ac:dyDescent="0.3">
      <c r="A36" s="37"/>
      <c r="B36" s="37"/>
      <c r="C36" s="37"/>
      <c r="D36" s="37"/>
      <c r="E36" s="37"/>
      <c r="F36" s="37"/>
      <c r="G36" s="37"/>
      <c r="H36" s="37"/>
      <c r="I36" s="37"/>
      <c r="J36" s="37"/>
      <c r="K36" s="37"/>
      <c r="L36" s="37"/>
      <c r="M36" s="39"/>
    </row>
    <row r="37" spans="1:13" ht="18.75" customHeight="1" thickBot="1" x14ac:dyDescent="0.3">
      <c r="A37" s="37"/>
      <c r="B37" s="260" t="s">
        <v>44</v>
      </c>
      <c r="C37" s="261"/>
      <c r="D37" s="261"/>
      <c r="E37" s="261"/>
      <c r="F37" s="261"/>
      <c r="G37" s="261"/>
      <c r="H37" s="261"/>
      <c r="I37" s="261"/>
      <c r="J37" s="261"/>
      <c r="K37" s="262"/>
      <c r="L37" s="37"/>
      <c r="M37" s="37"/>
    </row>
    <row r="38" spans="1:13" ht="36" customHeight="1" x14ac:dyDescent="0.25">
      <c r="A38" s="37"/>
      <c r="B38" s="273" t="s">
        <v>0</v>
      </c>
      <c r="C38" s="274"/>
      <c r="D38" s="274" t="s">
        <v>2</v>
      </c>
      <c r="E38" s="274"/>
      <c r="F38" s="26" t="s">
        <v>1</v>
      </c>
      <c r="G38" s="274" t="s">
        <v>3</v>
      </c>
      <c r="H38" s="274"/>
      <c r="I38" s="274" t="s">
        <v>5</v>
      </c>
      <c r="J38" s="274"/>
      <c r="K38" s="27" t="s">
        <v>4</v>
      </c>
      <c r="L38" s="37"/>
      <c r="M38" s="37"/>
    </row>
    <row r="39" spans="1:13" ht="18.75" customHeight="1" x14ac:dyDescent="0.25">
      <c r="A39" s="37"/>
      <c r="B39" s="259"/>
      <c r="C39" s="247"/>
      <c r="D39" s="247"/>
      <c r="E39" s="247"/>
      <c r="F39" s="28"/>
      <c r="G39" s="247" t="str">
        <f>IF(B39="","",B39-D39)</f>
        <v/>
      </c>
      <c r="H39" s="247"/>
      <c r="I39" s="247"/>
      <c r="J39" s="247"/>
      <c r="K39" s="21" t="str">
        <f>IF(G39="","",IF(AND(G39&gt;=-I39,G39&lt;=I39),"Pass","Fail"))</f>
        <v/>
      </c>
      <c r="L39" s="37"/>
      <c r="M39" s="37"/>
    </row>
    <row r="40" spans="1:13" ht="18.75" customHeight="1" x14ac:dyDescent="0.25">
      <c r="A40" s="37"/>
      <c r="B40" s="259"/>
      <c r="C40" s="247"/>
      <c r="D40" s="247"/>
      <c r="E40" s="247"/>
      <c r="F40" s="28"/>
      <c r="G40" s="247" t="str">
        <f t="shared" ref="G40:G47" si="0">IF(B40="","",B40-D40)</f>
        <v/>
      </c>
      <c r="H40" s="247"/>
      <c r="I40" s="247"/>
      <c r="J40" s="247"/>
      <c r="K40" s="21" t="str">
        <f t="shared" ref="K40:K47" si="1">IF(G40="","",IF(AND(G40&gt;=-I40,G40&lt;=I40),"Pass","Fail"))</f>
        <v/>
      </c>
      <c r="L40" s="37"/>
      <c r="M40" s="37"/>
    </row>
    <row r="41" spans="1:13" ht="18.75" customHeight="1" x14ac:dyDescent="0.25">
      <c r="A41" s="37"/>
      <c r="B41" s="259"/>
      <c r="C41" s="247"/>
      <c r="D41" s="247"/>
      <c r="E41" s="247"/>
      <c r="F41" s="28"/>
      <c r="G41" s="247" t="str">
        <f t="shared" si="0"/>
        <v/>
      </c>
      <c r="H41" s="247"/>
      <c r="I41" s="247"/>
      <c r="J41" s="247"/>
      <c r="K41" s="21" t="str">
        <f t="shared" si="1"/>
        <v/>
      </c>
      <c r="L41" s="37"/>
      <c r="M41" s="37"/>
    </row>
    <row r="42" spans="1:13" ht="18.75" customHeight="1" x14ac:dyDescent="0.25">
      <c r="A42" s="37"/>
      <c r="B42" s="259"/>
      <c r="C42" s="247"/>
      <c r="D42" s="247"/>
      <c r="E42" s="247"/>
      <c r="F42" s="28"/>
      <c r="G42" s="247" t="str">
        <f t="shared" si="0"/>
        <v/>
      </c>
      <c r="H42" s="247"/>
      <c r="I42" s="247"/>
      <c r="J42" s="247"/>
      <c r="K42" s="21" t="str">
        <f t="shared" si="1"/>
        <v/>
      </c>
      <c r="L42" s="37"/>
      <c r="M42" s="37"/>
    </row>
    <row r="43" spans="1:13" ht="18.75" customHeight="1" x14ac:dyDescent="0.25">
      <c r="A43" s="37"/>
      <c r="B43" s="259"/>
      <c r="C43" s="247"/>
      <c r="D43" s="247"/>
      <c r="E43" s="247"/>
      <c r="F43" s="28"/>
      <c r="G43" s="247" t="str">
        <f t="shared" si="0"/>
        <v/>
      </c>
      <c r="H43" s="247"/>
      <c r="I43" s="247"/>
      <c r="J43" s="247"/>
      <c r="K43" s="21" t="str">
        <f t="shared" si="1"/>
        <v/>
      </c>
      <c r="L43" s="37"/>
      <c r="M43" s="37"/>
    </row>
    <row r="44" spans="1:13" ht="18.75" customHeight="1" x14ac:dyDescent="0.25">
      <c r="A44" s="37"/>
      <c r="B44" s="259"/>
      <c r="C44" s="247"/>
      <c r="D44" s="247"/>
      <c r="E44" s="247"/>
      <c r="F44" s="28"/>
      <c r="G44" s="247" t="str">
        <f t="shared" si="0"/>
        <v/>
      </c>
      <c r="H44" s="247"/>
      <c r="I44" s="247"/>
      <c r="J44" s="247"/>
      <c r="K44" s="21" t="str">
        <f t="shared" si="1"/>
        <v/>
      </c>
      <c r="L44" s="37"/>
      <c r="M44" s="37"/>
    </row>
    <row r="45" spans="1:13" ht="18.75" customHeight="1" x14ac:dyDescent="0.25">
      <c r="A45" s="37"/>
      <c r="B45" s="259"/>
      <c r="C45" s="247"/>
      <c r="D45" s="247"/>
      <c r="E45" s="247"/>
      <c r="F45" s="28"/>
      <c r="G45" s="247" t="str">
        <f t="shared" si="0"/>
        <v/>
      </c>
      <c r="H45" s="247"/>
      <c r="I45" s="247"/>
      <c r="J45" s="247"/>
      <c r="K45" s="21" t="str">
        <f t="shared" si="1"/>
        <v/>
      </c>
      <c r="L45" s="37"/>
      <c r="M45" s="37"/>
    </row>
    <row r="46" spans="1:13" ht="18.75" customHeight="1" x14ac:dyDescent="0.25">
      <c r="A46" s="37"/>
      <c r="B46" s="259"/>
      <c r="C46" s="247"/>
      <c r="D46" s="247"/>
      <c r="E46" s="247"/>
      <c r="F46" s="28"/>
      <c r="G46" s="247" t="str">
        <f t="shared" si="0"/>
        <v/>
      </c>
      <c r="H46" s="247"/>
      <c r="I46" s="247"/>
      <c r="J46" s="247"/>
      <c r="K46" s="21" t="str">
        <f t="shared" si="1"/>
        <v/>
      </c>
      <c r="L46" s="37"/>
      <c r="M46" s="37"/>
    </row>
    <row r="47" spans="1:13" ht="18.75" customHeight="1" thickBot="1" x14ac:dyDescent="0.3">
      <c r="A47" s="37"/>
      <c r="B47" s="267"/>
      <c r="C47" s="266"/>
      <c r="D47" s="266"/>
      <c r="E47" s="266"/>
      <c r="F47" s="29"/>
      <c r="G47" s="266" t="str">
        <f t="shared" si="0"/>
        <v/>
      </c>
      <c r="H47" s="266"/>
      <c r="I47" s="266"/>
      <c r="J47" s="266"/>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260" t="s">
        <v>24</v>
      </c>
      <c r="B49" s="261"/>
      <c r="C49" s="261"/>
      <c r="D49" s="261"/>
      <c r="E49" s="261"/>
      <c r="F49" s="261"/>
      <c r="G49" s="261"/>
      <c r="H49" s="261"/>
      <c r="I49" s="261"/>
      <c r="J49" s="261"/>
      <c r="K49" s="261"/>
      <c r="L49" s="262"/>
      <c r="M49" s="37"/>
    </row>
    <row r="50" spans="1:13" ht="15.75" customHeight="1" x14ac:dyDescent="0.25">
      <c r="A50" s="250"/>
      <c r="B50" s="251"/>
      <c r="C50" s="251"/>
      <c r="D50" s="251"/>
      <c r="E50" s="251"/>
      <c r="F50" s="251"/>
      <c r="G50" s="251"/>
      <c r="H50" s="251"/>
      <c r="I50" s="251"/>
      <c r="J50" s="251"/>
      <c r="K50" s="251"/>
      <c r="L50" s="252"/>
      <c r="M50" s="37"/>
    </row>
    <row r="51" spans="1:13" ht="15.75" customHeight="1" x14ac:dyDescent="0.25">
      <c r="A51" s="253"/>
      <c r="B51" s="254"/>
      <c r="C51" s="254"/>
      <c r="D51" s="254"/>
      <c r="E51" s="254"/>
      <c r="F51" s="254"/>
      <c r="G51" s="254"/>
      <c r="H51" s="254"/>
      <c r="I51" s="254"/>
      <c r="J51" s="254"/>
      <c r="K51" s="254"/>
      <c r="L51" s="255"/>
      <c r="M51" s="37"/>
    </row>
    <row r="52" spans="1:13" ht="15.75" customHeight="1" thickBot="1" x14ac:dyDescent="0.3">
      <c r="A52" s="256"/>
      <c r="B52" s="257"/>
      <c r="C52" s="257"/>
      <c r="D52" s="257"/>
      <c r="E52" s="257"/>
      <c r="F52" s="257"/>
      <c r="G52" s="257"/>
      <c r="H52" s="257"/>
      <c r="I52" s="257"/>
      <c r="J52" s="257"/>
      <c r="K52" s="257"/>
      <c r="L52" s="258"/>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292" t="s">
        <v>47</v>
      </c>
      <c r="B54" s="293"/>
      <c r="C54" s="293"/>
      <c r="D54" s="293"/>
      <c r="E54" s="293"/>
      <c r="F54" s="293"/>
      <c r="G54" s="293"/>
      <c r="H54" s="293"/>
      <c r="I54" s="293"/>
      <c r="J54" s="293"/>
      <c r="K54" s="293"/>
      <c r="L54" s="293"/>
      <c r="M54" s="39"/>
    </row>
    <row r="55" spans="1:13" ht="21" customHeight="1" x14ac:dyDescent="0.25">
      <c r="A55" s="293"/>
      <c r="B55" s="293"/>
      <c r="C55" s="293"/>
      <c r="D55" s="293"/>
      <c r="E55" s="293"/>
      <c r="F55" s="293"/>
      <c r="G55" s="293"/>
      <c r="H55" s="293"/>
      <c r="I55" s="293"/>
      <c r="J55" s="293"/>
      <c r="K55" s="293"/>
      <c r="L55" s="293"/>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287" t="s">
        <v>12</v>
      </c>
      <c r="B58" s="287"/>
      <c r="C58" s="286"/>
      <c r="D58" s="286"/>
      <c r="E58" s="286"/>
      <c r="F58" s="41"/>
      <c r="G58" s="287" t="s">
        <v>40</v>
      </c>
      <c r="H58" s="287"/>
      <c r="I58" s="286"/>
      <c r="J58" s="286"/>
      <c r="K58" s="286"/>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287" t="s">
        <v>49</v>
      </c>
      <c r="B60" s="287"/>
      <c r="C60" s="286"/>
      <c r="D60" s="286"/>
      <c r="E60" s="286"/>
      <c r="F60" s="37"/>
      <c r="G60" s="287" t="s">
        <v>41</v>
      </c>
      <c r="H60" s="287"/>
      <c r="I60" s="286"/>
      <c r="J60" s="286"/>
      <c r="K60" s="286"/>
      <c r="L60" s="37"/>
      <c r="M60" s="39"/>
    </row>
    <row r="61" spans="1:13" ht="15.75" customHeight="1" x14ac:dyDescent="0.25">
      <c r="A61" s="288"/>
      <c r="B61" s="288"/>
      <c r="C61" s="288"/>
      <c r="D61" s="288"/>
      <c r="E61" s="288"/>
      <c r="F61" s="288"/>
      <c r="G61" s="288"/>
      <c r="H61" s="288"/>
      <c r="I61" s="288"/>
      <c r="J61" s="288"/>
      <c r="K61" s="288"/>
      <c r="L61" s="288"/>
      <c r="M61" s="37"/>
    </row>
    <row r="62" spans="1:13" ht="15.75" customHeight="1" x14ac:dyDescent="0.25">
      <c r="A62" s="40"/>
      <c r="B62" s="40"/>
      <c r="C62" s="40"/>
      <c r="D62" s="40"/>
      <c r="E62" s="40"/>
      <c r="F62" s="40"/>
      <c r="G62" s="40"/>
      <c r="H62" s="40"/>
      <c r="I62" s="40"/>
      <c r="J62" s="40"/>
      <c r="K62" s="40"/>
      <c r="L62" s="40"/>
    </row>
  </sheetData>
  <mergeCells count="14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4:L34"/>
    <mergeCell ref="A35:B35"/>
    <mergeCell ref="D35:E35"/>
    <mergeCell ref="G35:H35"/>
    <mergeCell ref="J35:K35"/>
    <mergeCell ref="A31:B31"/>
    <mergeCell ref="C31:D31"/>
    <mergeCell ref="E31:F31"/>
    <mergeCell ref="G31:H31"/>
    <mergeCell ref="I31:J31"/>
    <mergeCell ref="K31:L31"/>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s>
  <conditionalFormatting sqref="K39:K47">
    <cfRule type="containsText" dxfId="47" priority="1" operator="containsText" text="Fail">
      <formula>NOT(ISERROR(SEARCH("Fail",K39)))</formula>
    </cfRule>
    <cfRule type="containsText" dxfId="46"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30"/>
  <sheetViews>
    <sheetView workbookViewId="0">
      <pane ySplit="2" topLeftCell="A3" activePane="bottomLeft" state="frozen"/>
      <selection pane="bottomLeft" activeCell="D8" sqref="D8"/>
    </sheetView>
  </sheetViews>
  <sheetFormatPr defaultRowHeight="15" x14ac:dyDescent="0.25"/>
  <cols>
    <col min="2" max="2" width="8.5703125" bestFit="1" customWidth="1"/>
    <col min="3" max="3" width="10.7109375" bestFit="1" customWidth="1"/>
    <col min="4" max="4" width="50.42578125" customWidth="1"/>
    <col min="5" max="5" width="22.28515625" customWidth="1"/>
    <col min="6" max="6" width="36.5703125" customWidth="1"/>
  </cols>
  <sheetData>
    <row r="1" spans="2:6" ht="15.75" thickBot="1" x14ac:dyDescent="0.3"/>
    <row r="2" spans="2:6" ht="27" thickBot="1" x14ac:dyDescent="0.3">
      <c r="B2" s="294" t="s">
        <v>2632</v>
      </c>
      <c r="C2" s="295"/>
      <c r="D2" s="295"/>
      <c r="E2" s="295"/>
      <c r="F2" s="296"/>
    </row>
    <row r="3" spans="2:6" ht="26.25" x14ac:dyDescent="0.25">
      <c r="B3" s="190"/>
      <c r="C3" s="190"/>
      <c r="D3" s="190"/>
      <c r="E3" s="190"/>
      <c r="F3" s="190"/>
    </row>
    <row r="4" spans="2:6" ht="30.75" thickBot="1" x14ac:dyDescent="0.3">
      <c r="B4" s="191" t="s">
        <v>2625</v>
      </c>
      <c r="C4" s="191" t="s">
        <v>2626</v>
      </c>
      <c r="D4" s="191" t="s">
        <v>2627</v>
      </c>
      <c r="E4" s="191" t="s">
        <v>2628</v>
      </c>
      <c r="F4" s="191" t="s">
        <v>2629</v>
      </c>
    </row>
    <row r="5" spans="2:6" ht="15.75" thickBot="1" x14ac:dyDescent="0.3">
      <c r="B5" s="192">
        <v>0</v>
      </c>
      <c r="C5" s="193">
        <v>43830</v>
      </c>
      <c r="D5" s="192" t="s">
        <v>2633</v>
      </c>
      <c r="E5" s="192" t="s">
        <v>2630</v>
      </c>
      <c r="F5" s="192" t="s">
        <v>2631</v>
      </c>
    </row>
    <row r="6" spans="2:6" ht="45.75" thickBot="1" x14ac:dyDescent="0.3">
      <c r="B6" s="194">
        <v>1</v>
      </c>
      <c r="C6" s="195">
        <v>43683</v>
      </c>
      <c r="D6" s="194" t="s">
        <v>2634</v>
      </c>
      <c r="E6" s="192" t="s">
        <v>2630</v>
      </c>
      <c r="F6" s="192" t="s">
        <v>2631</v>
      </c>
    </row>
    <row r="7" spans="2:6" ht="105.75" thickBot="1" x14ac:dyDescent="0.3">
      <c r="B7" s="196">
        <v>2</v>
      </c>
      <c r="C7" s="193">
        <v>43692</v>
      </c>
      <c r="D7" s="192" t="s">
        <v>2635</v>
      </c>
      <c r="E7" s="192" t="s">
        <v>2630</v>
      </c>
      <c r="F7" s="192" t="s">
        <v>2631</v>
      </c>
    </row>
    <row r="8" spans="2:6" ht="135.75" thickBot="1" x14ac:dyDescent="0.3">
      <c r="B8" s="196">
        <v>3</v>
      </c>
      <c r="C8" s="193">
        <v>43726</v>
      </c>
      <c r="D8" s="192" t="s">
        <v>2636</v>
      </c>
      <c r="E8" s="192" t="s">
        <v>2630</v>
      </c>
      <c r="F8" s="192" t="s">
        <v>2631</v>
      </c>
    </row>
    <row r="9" spans="2:6" ht="15.75" thickBot="1" x14ac:dyDescent="0.3">
      <c r="B9" s="196"/>
      <c r="C9" s="192"/>
      <c r="D9" s="192"/>
      <c r="E9" s="192"/>
      <c r="F9" s="192"/>
    </row>
    <row r="10" spans="2:6" ht="15.75" thickBot="1" x14ac:dyDescent="0.3">
      <c r="B10" s="197"/>
      <c r="C10" s="192"/>
      <c r="D10" s="192"/>
      <c r="E10" s="192"/>
      <c r="F10" s="192"/>
    </row>
    <row r="11" spans="2:6" ht="15.75" thickBot="1" x14ac:dyDescent="0.3">
      <c r="B11" s="192"/>
      <c r="C11" s="192"/>
      <c r="D11" s="192"/>
      <c r="E11" s="192"/>
      <c r="F11" s="192"/>
    </row>
    <row r="12" spans="2:6" ht="15.75" thickBot="1" x14ac:dyDescent="0.3">
      <c r="B12" s="192"/>
      <c r="C12" s="192"/>
      <c r="D12" s="192"/>
      <c r="E12" s="192"/>
      <c r="F12" s="192"/>
    </row>
    <row r="13" spans="2:6" ht="15.75" thickBot="1" x14ac:dyDescent="0.3">
      <c r="B13" s="192"/>
      <c r="C13" s="192"/>
      <c r="D13" s="192"/>
      <c r="E13" s="192"/>
      <c r="F13" s="192"/>
    </row>
    <row r="14" spans="2:6" ht="15.75" thickBot="1" x14ac:dyDescent="0.3">
      <c r="B14" s="192"/>
      <c r="C14" s="192"/>
      <c r="D14" s="192"/>
      <c r="E14" s="192"/>
      <c r="F14" s="192"/>
    </row>
    <row r="15" spans="2:6" ht="15.75" thickBot="1" x14ac:dyDescent="0.3">
      <c r="B15" s="192"/>
      <c r="C15" s="192"/>
      <c r="D15" s="192"/>
      <c r="E15" s="192"/>
      <c r="F15" s="192"/>
    </row>
    <row r="16" spans="2:6" ht="15.75" thickBot="1" x14ac:dyDescent="0.3">
      <c r="B16" s="192"/>
      <c r="C16" s="192"/>
      <c r="D16" s="192"/>
      <c r="E16" s="192"/>
      <c r="F16" s="192"/>
    </row>
    <row r="17" spans="2:6" ht="15.75" thickBot="1" x14ac:dyDescent="0.3">
      <c r="B17" s="192"/>
      <c r="C17" s="192"/>
      <c r="D17" s="192"/>
      <c r="E17" s="192"/>
      <c r="F17" s="192"/>
    </row>
    <row r="18" spans="2:6" ht="15.75" thickBot="1" x14ac:dyDescent="0.3">
      <c r="B18" s="192"/>
      <c r="C18" s="192"/>
      <c r="D18" s="192"/>
      <c r="E18" s="192"/>
      <c r="F18" s="192"/>
    </row>
    <row r="19" spans="2:6" ht="15.75" thickBot="1" x14ac:dyDescent="0.3">
      <c r="B19" s="192"/>
      <c r="C19" s="192"/>
      <c r="D19" s="192"/>
      <c r="E19" s="192"/>
      <c r="F19" s="192"/>
    </row>
    <row r="20" spans="2:6" ht="15.75" thickBot="1" x14ac:dyDescent="0.3">
      <c r="B20" s="192"/>
      <c r="C20" s="192"/>
      <c r="D20" s="192"/>
      <c r="E20" s="192"/>
      <c r="F20" s="192"/>
    </row>
    <row r="21" spans="2:6" ht="15.75" thickBot="1" x14ac:dyDescent="0.3">
      <c r="B21" s="192"/>
      <c r="C21" s="192"/>
      <c r="D21" s="192"/>
      <c r="E21" s="192"/>
      <c r="F21" s="192"/>
    </row>
    <row r="22" spans="2:6" ht="15.75" thickBot="1" x14ac:dyDescent="0.3">
      <c r="B22" s="192"/>
      <c r="C22" s="192"/>
      <c r="D22" s="192"/>
      <c r="E22" s="192"/>
      <c r="F22" s="192"/>
    </row>
    <row r="23" spans="2:6" ht="15.75" thickBot="1" x14ac:dyDescent="0.3">
      <c r="B23" s="192"/>
      <c r="C23" s="192"/>
      <c r="D23" s="192"/>
      <c r="E23" s="192"/>
      <c r="F23" s="192"/>
    </row>
    <row r="24" spans="2:6" ht="15.75" thickBot="1" x14ac:dyDescent="0.3">
      <c r="B24" s="192"/>
      <c r="C24" s="192"/>
      <c r="D24" s="192"/>
      <c r="E24" s="192"/>
      <c r="F24" s="192"/>
    </row>
    <row r="25" spans="2:6" ht="15.75" thickBot="1" x14ac:dyDescent="0.3">
      <c r="B25" s="192"/>
      <c r="C25" s="192"/>
      <c r="D25" s="192"/>
      <c r="E25" s="192"/>
      <c r="F25" s="192"/>
    </row>
    <row r="26" spans="2:6" ht="15.75" thickBot="1" x14ac:dyDescent="0.3">
      <c r="B26" s="192"/>
      <c r="C26" s="192"/>
      <c r="D26" s="192"/>
      <c r="E26" s="192"/>
      <c r="F26" s="192"/>
    </row>
    <row r="27" spans="2:6" ht="15.75" thickBot="1" x14ac:dyDescent="0.3">
      <c r="B27" s="192"/>
      <c r="C27" s="192"/>
      <c r="D27" s="192"/>
      <c r="E27" s="192"/>
      <c r="F27" s="192"/>
    </row>
    <row r="28" spans="2:6" ht="15.75" thickBot="1" x14ac:dyDescent="0.3">
      <c r="B28" s="192"/>
      <c r="C28" s="192"/>
      <c r="D28" s="192"/>
      <c r="E28" s="192"/>
      <c r="F28" s="192"/>
    </row>
    <row r="29" spans="2:6" ht="15.75" thickBot="1" x14ac:dyDescent="0.3">
      <c r="B29" s="192"/>
      <c r="C29" s="192"/>
      <c r="D29" s="192"/>
      <c r="E29" s="192"/>
      <c r="F29" s="192"/>
    </row>
    <row r="30" spans="2:6" ht="15.75" thickBot="1" x14ac:dyDescent="0.3">
      <c r="B30" s="192"/>
      <c r="C30" s="192"/>
      <c r="D30" s="192"/>
      <c r="E30" s="192"/>
      <c r="F30" s="192"/>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289"/>
      <c r="B1" s="289"/>
      <c r="C1" s="289"/>
      <c r="D1" s="289"/>
      <c r="E1" s="290" t="s">
        <v>48</v>
      </c>
      <c r="F1" s="290"/>
      <c r="G1" s="290"/>
      <c r="H1" s="290"/>
      <c r="I1" s="290"/>
      <c r="J1" s="290"/>
      <c r="K1" s="290"/>
      <c r="L1" s="290"/>
    </row>
    <row r="2" spans="1:13" s="32" customFormat="1" ht="15.95" customHeight="1" x14ac:dyDescent="0.25">
      <c r="A2" s="289"/>
      <c r="B2" s="289"/>
      <c r="C2" s="289"/>
      <c r="D2" s="289"/>
      <c r="E2" s="290"/>
      <c r="F2" s="290"/>
      <c r="G2" s="290"/>
      <c r="H2" s="290"/>
      <c r="I2" s="290"/>
      <c r="J2" s="290"/>
      <c r="K2" s="290"/>
      <c r="L2" s="290"/>
    </row>
    <row r="3" spans="1:13" s="32" customFormat="1" ht="15.95" customHeight="1" x14ac:dyDescent="0.25">
      <c r="A3" s="289"/>
      <c r="B3" s="289"/>
      <c r="C3" s="289"/>
      <c r="D3" s="289"/>
      <c r="E3" s="290"/>
      <c r="F3" s="290"/>
      <c r="G3" s="290"/>
      <c r="H3" s="290"/>
      <c r="I3" s="290"/>
      <c r="J3" s="290"/>
      <c r="K3" s="290"/>
      <c r="L3" s="290"/>
    </row>
    <row r="4" spans="1:13" s="32" customFormat="1" ht="15.95" customHeight="1" x14ac:dyDescent="0.25">
      <c r="A4" s="289"/>
      <c r="B4" s="289"/>
      <c r="C4" s="289"/>
      <c r="D4" s="289"/>
      <c r="E4" s="299" t="s">
        <v>2605</v>
      </c>
      <c r="F4" s="299"/>
      <c r="G4" s="299"/>
      <c r="H4" s="299"/>
      <c r="I4" s="299"/>
      <c r="J4" s="299"/>
      <c r="K4" s="299"/>
      <c r="L4" s="299"/>
    </row>
    <row r="5" spans="1:13" s="32" customFormat="1" ht="15.95" customHeight="1" x14ac:dyDescent="0.25">
      <c r="A5" s="289"/>
      <c r="B5" s="289"/>
      <c r="C5" s="289"/>
      <c r="D5" s="289"/>
      <c r="E5" s="299"/>
      <c r="F5" s="299"/>
      <c r="G5" s="299"/>
      <c r="H5" s="299"/>
      <c r="I5" s="299"/>
      <c r="J5" s="299"/>
      <c r="K5" s="299"/>
      <c r="L5" s="299"/>
    </row>
    <row r="6" spans="1:13" s="32" customFormat="1" ht="15.95" customHeight="1" x14ac:dyDescent="0.25">
      <c r="A6" s="289"/>
      <c r="B6" s="289"/>
      <c r="C6" s="289"/>
      <c r="D6" s="289"/>
      <c r="E6" s="299"/>
      <c r="F6" s="299"/>
      <c r="G6" s="299"/>
      <c r="H6" s="299"/>
      <c r="I6" s="299"/>
      <c r="J6" s="299"/>
      <c r="K6" s="299"/>
      <c r="L6" s="299"/>
    </row>
    <row r="7" spans="1:13" s="32" customFormat="1" ht="15.95" customHeight="1" x14ac:dyDescent="0.25">
      <c r="E7" s="69"/>
      <c r="F7" s="69"/>
      <c r="G7" s="69"/>
      <c r="H7" s="69"/>
      <c r="I7" s="69"/>
      <c r="J7" s="69"/>
      <c r="K7" s="69"/>
      <c r="L7" s="69"/>
    </row>
    <row r="8" spans="1:13" s="32" customFormat="1" ht="15.75" customHeight="1" thickBot="1" x14ac:dyDescent="0.3">
      <c r="E8" s="43"/>
      <c r="F8" s="43"/>
      <c r="G8" s="43"/>
      <c r="H8" s="43"/>
      <c r="I8" s="43"/>
      <c r="J8" s="43"/>
      <c r="K8" s="43"/>
      <c r="L8" s="43"/>
    </row>
    <row r="9" spans="1:13" ht="18.75" customHeight="1" thickBot="1" x14ac:dyDescent="0.3">
      <c r="A9" s="260" t="s">
        <v>28</v>
      </c>
      <c r="B9" s="261"/>
      <c r="C9" s="261"/>
      <c r="D9" s="261"/>
      <c r="E9" s="261"/>
      <c r="F9" s="262"/>
      <c r="G9" s="260" t="s">
        <v>29</v>
      </c>
      <c r="H9" s="261"/>
      <c r="I9" s="261"/>
      <c r="J9" s="261"/>
      <c r="K9" s="261"/>
      <c r="L9" s="262"/>
      <c r="M9" s="37"/>
    </row>
    <row r="10" spans="1:13" ht="18.75" customHeight="1" x14ac:dyDescent="0.25">
      <c r="A10" s="272" t="s">
        <v>31</v>
      </c>
      <c r="B10" s="270"/>
      <c r="C10" s="323"/>
      <c r="D10" s="323"/>
      <c r="E10" s="323"/>
      <c r="F10" s="324"/>
      <c r="G10" s="272" t="s">
        <v>36</v>
      </c>
      <c r="H10" s="270"/>
      <c r="I10" s="275"/>
      <c r="J10" s="275"/>
      <c r="K10" s="275"/>
      <c r="L10" s="276"/>
      <c r="M10" s="37"/>
    </row>
    <row r="11" spans="1:13" ht="18.75" customHeight="1" x14ac:dyDescent="0.25">
      <c r="A11" s="245" t="s">
        <v>32</v>
      </c>
      <c r="B11" s="246"/>
      <c r="C11" s="247"/>
      <c r="D11" s="247"/>
      <c r="E11" s="247"/>
      <c r="F11" s="269"/>
      <c r="G11" s="245" t="s">
        <v>37</v>
      </c>
      <c r="H11" s="246"/>
      <c r="I11" s="247"/>
      <c r="J11" s="247"/>
      <c r="K11" s="247"/>
      <c r="L11" s="269"/>
      <c r="M11" s="37"/>
    </row>
    <row r="12" spans="1:13" ht="18.75" customHeight="1" x14ac:dyDescent="0.25">
      <c r="A12" s="245"/>
      <c r="B12" s="246"/>
      <c r="C12" s="247"/>
      <c r="D12" s="247"/>
      <c r="E12" s="247"/>
      <c r="F12" s="269"/>
      <c r="G12" s="245" t="s">
        <v>38</v>
      </c>
      <c r="H12" s="246"/>
      <c r="I12" s="247"/>
      <c r="J12" s="247"/>
      <c r="K12" s="247"/>
      <c r="L12" s="269"/>
      <c r="M12" s="37"/>
    </row>
    <row r="13" spans="1:13" ht="18.75" customHeight="1" x14ac:dyDescent="0.25">
      <c r="A13" s="245"/>
      <c r="B13" s="246"/>
      <c r="C13" s="247"/>
      <c r="D13" s="247"/>
      <c r="E13" s="247"/>
      <c r="F13" s="269"/>
      <c r="G13" s="245" t="s">
        <v>39</v>
      </c>
      <c r="H13" s="246"/>
      <c r="I13" s="247" t="s">
        <v>50</v>
      </c>
      <c r="J13" s="247"/>
      <c r="K13" s="247"/>
      <c r="L13" s="269"/>
      <c r="M13" s="37"/>
    </row>
    <row r="14" spans="1:13" ht="18.75" customHeight="1" x14ac:dyDescent="0.25">
      <c r="A14" s="245"/>
      <c r="B14" s="246"/>
      <c r="C14" s="247"/>
      <c r="D14" s="247"/>
      <c r="E14" s="247"/>
      <c r="F14" s="269"/>
      <c r="G14" s="245" t="s">
        <v>34</v>
      </c>
      <c r="H14" s="246"/>
      <c r="I14" s="279"/>
      <c r="J14" s="279"/>
      <c r="K14" s="279"/>
      <c r="L14" s="280"/>
      <c r="M14" s="37"/>
    </row>
    <row r="15" spans="1:13" ht="18.75" customHeight="1" thickBot="1" x14ac:dyDescent="0.3">
      <c r="A15" s="277" t="s">
        <v>33</v>
      </c>
      <c r="B15" s="278"/>
      <c r="C15" s="319"/>
      <c r="D15" s="319"/>
      <c r="E15" s="319"/>
      <c r="F15" s="320"/>
      <c r="G15" s="277" t="s">
        <v>35</v>
      </c>
      <c r="H15" s="278"/>
      <c r="I15" s="281"/>
      <c r="J15" s="281"/>
      <c r="K15" s="281"/>
      <c r="L15" s="282"/>
      <c r="M15" s="37"/>
    </row>
    <row r="16" spans="1:13" ht="15.75" customHeight="1" x14ac:dyDescent="0.25">
      <c r="A16" s="67"/>
      <c r="B16" s="67"/>
      <c r="C16" s="149"/>
      <c r="D16" s="149"/>
      <c r="E16" s="149"/>
      <c r="F16" s="149"/>
      <c r="G16" s="67"/>
      <c r="H16" s="67"/>
      <c r="I16" s="68"/>
      <c r="J16" s="68"/>
      <c r="K16" s="68"/>
      <c r="L16" s="68"/>
      <c r="M16" s="37"/>
    </row>
    <row r="17" spans="1:13" ht="15.75" customHeight="1" x14ac:dyDescent="0.25">
      <c r="A17" s="67"/>
      <c r="B17" s="67"/>
      <c r="C17" s="60"/>
      <c r="D17" s="60"/>
      <c r="E17" s="60"/>
      <c r="F17" s="60"/>
      <c r="G17" s="67"/>
      <c r="H17" s="67"/>
      <c r="I17" s="68"/>
      <c r="J17" s="68"/>
      <c r="K17" s="68"/>
      <c r="L17" s="68"/>
      <c r="M17" s="37"/>
    </row>
    <row r="18" spans="1:13" ht="30" customHeight="1" x14ac:dyDescent="0.25">
      <c r="A18" s="292" t="s">
        <v>1768</v>
      </c>
      <c r="B18" s="292"/>
      <c r="C18" s="292"/>
      <c r="D18" s="292"/>
      <c r="E18" s="292"/>
      <c r="F18" s="292"/>
      <c r="G18" s="292"/>
      <c r="H18" s="292"/>
      <c r="I18" s="292"/>
      <c r="J18" s="292"/>
      <c r="K18" s="292"/>
      <c r="L18" s="292"/>
      <c r="M18" s="47"/>
    </row>
    <row r="19" spans="1:13" ht="30" customHeight="1" x14ac:dyDescent="0.25">
      <c r="A19" s="292"/>
      <c r="B19" s="292"/>
      <c r="C19" s="292"/>
      <c r="D19" s="292"/>
      <c r="E19" s="292"/>
      <c r="F19" s="292"/>
      <c r="G19" s="292"/>
      <c r="H19" s="292"/>
      <c r="I19" s="292"/>
      <c r="J19" s="292"/>
      <c r="K19" s="292"/>
      <c r="L19" s="292"/>
      <c r="M19" s="47"/>
    </row>
    <row r="20" spans="1:13" ht="15.75" customHeight="1" x14ac:dyDescent="0.25">
      <c r="A20" s="148"/>
      <c r="B20" s="148"/>
      <c r="C20" s="148"/>
      <c r="D20" s="148"/>
      <c r="E20" s="148"/>
      <c r="F20" s="148"/>
      <c r="G20" s="148"/>
      <c r="H20" s="148"/>
      <c r="I20" s="148"/>
      <c r="J20" s="148"/>
      <c r="K20" s="148"/>
      <c r="L20" s="148"/>
      <c r="M20" s="147"/>
    </row>
    <row r="21" spans="1:13" ht="15.75" customHeight="1" thickBot="1" x14ac:dyDescent="0.3">
      <c r="A21" s="37"/>
      <c r="B21" s="37"/>
      <c r="C21" s="37"/>
      <c r="D21" s="37"/>
      <c r="E21" s="37"/>
      <c r="F21" s="37"/>
      <c r="G21" s="37"/>
      <c r="H21" s="37"/>
      <c r="I21" s="37"/>
      <c r="J21" s="37"/>
      <c r="K21" s="37"/>
      <c r="L21" s="37"/>
      <c r="M21" s="47"/>
    </row>
    <row r="22" spans="1:13" ht="19.5" customHeight="1" thickBot="1" x14ac:dyDescent="0.3">
      <c r="A22" s="260" t="s">
        <v>20</v>
      </c>
      <c r="B22" s="261"/>
      <c r="C22" s="261"/>
      <c r="D22" s="261"/>
      <c r="E22" s="261"/>
      <c r="F22" s="261"/>
      <c r="G22" s="261"/>
      <c r="H22" s="261"/>
      <c r="I22" s="261"/>
      <c r="J22" s="261"/>
      <c r="K22" s="261"/>
      <c r="L22" s="262"/>
      <c r="M22" s="37"/>
    </row>
    <row r="23" spans="1:13" ht="19.5" customHeight="1" x14ac:dyDescent="0.25">
      <c r="A23" s="272" t="s">
        <v>23</v>
      </c>
      <c r="B23" s="270"/>
      <c r="C23" s="270"/>
      <c r="D23" s="270"/>
      <c r="E23" s="270" t="s">
        <v>22</v>
      </c>
      <c r="F23" s="270"/>
      <c r="G23" s="270" t="s">
        <v>21</v>
      </c>
      <c r="H23" s="270"/>
      <c r="I23" s="270" t="s">
        <v>53</v>
      </c>
      <c r="J23" s="270"/>
      <c r="K23" s="270" t="s">
        <v>54</v>
      </c>
      <c r="L23" s="271"/>
      <c r="M23" s="37"/>
    </row>
    <row r="24" spans="1:13" ht="19.5" customHeight="1" x14ac:dyDescent="0.25">
      <c r="A24" s="321"/>
      <c r="B24" s="317"/>
      <c r="C24" s="317"/>
      <c r="D24" s="317"/>
      <c r="E24" s="317"/>
      <c r="F24" s="317"/>
      <c r="G24" s="317"/>
      <c r="H24" s="317"/>
      <c r="I24" s="317"/>
      <c r="J24" s="317"/>
      <c r="K24" s="317"/>
      <c r="L24" s="322"/>
      <c r="M24" s="37"/>
    </row>
    <row r="25" spans="1:13" ht="19.5" customHeight="1" x14ac:dyDescent="0.25">
      <c r="A25" s="321"/>
      <c r="B25" s="317"/>
      <c r="C25" s="317"/>
      <c r="D25" s="317"/>
      <c r="E25" s="317"/>
      <c r="F25" s="317"/>
      <c r="G25" s="317"/>
      <c r="H25" s="317"/>
      <c r="I25" s="317"/>
      <c r="J25" s="317"/>
      <c r="K25" s="317"/>
      <c r="L25" s="322"/>
      <c r="M25" s="37"/>
    </row>
    <row r="26" spans="1:13" ht="19.5" customHeight="1" x14ac:dyDescent="0.25">
      <c r="A26" s="321"/>
      <c r="B26" s="317"/>
      <c r="C26" s="317"/>
      <c r="D26" s="317"/>
      <c r="E26" s="317"/>
      <c r="F26" s="317"/>
      <c r="G26" s="317"/>
      <c r="H26" s="317"/>
      <c r="I26" s="317"/>
      <c r="J26" s="317"/>
      <c r="K26" s="317"/>
      <c r="L26" s="322"/>
      <c r="M26" s="37"/>
    </row>
    <row r="27" spans="1:13" ht="19.5" customHeight="1" x14ac:dyDescent="0.25">
      <c r="A27" s="321" t="s">
        <v>1785</v>
      </c>
      <c r="B27" s="317"/>
      <c r="C27" s="317"/>
      <c r="D27" s="317"/>
      <c r="E27" s="317" t="s">
        <v>1785</v>
      </c>
      <c r="F27" s="317"/>
      <c r="G27" s="317" t="s">
        <v>1785</v>
      </c>
      <c r="H27" s="317"/>
      <c r="I27" s="317" t="s">
        <v>1785</v>
      </c>
      <c r="J27" s="317"/>
      <c r="K27" s="317" t="s">
        <v>1785</v>
      </c>
      <c r="L27" s="322"/>
      <c r="M27" s="37"/>
    </row>
    <row r="28" spans="1:13" ht="19.5" customHeight="1" thickBot="1" x14ac:dyDescent="0.3">
      <c r="A28" s="318" t="s">
        <v>1785</v>
      </c>
      <c r="B28" s="319"/>
      <c r="C28" s="319"/>
      <c r="D28" s="319"/>
      <c r="E28" s="319" t="s">
        <v>1785</v>
      </c>
      <c r="F28" s="319"/>
      <c r="G28" s="319" t="s">
        <v>1785</v>
      </c>
      <c r="H28" s="319"/>
      <c r="I28" s="319" t="s">
        <v>1785</v>
      </c>
      <c r="J28" s="319"/>
      <c r="K28" s="319" t="s">
        <v>1785</v>
      </c>
      <c r="L28" s="320"/>
      <c r="M28" s="37"/>
    </row>
    <row r="29" spans="1:13" ht="16.5" customHeight="1" x14ac:dyDescent="0.25">
      <c r="A29" s="60"/>
      <c r="B29" s="60"/>
      <c r="C29" s="60"/>
      <c r="D29" s="60"/>
      <c r="E29" s="60"/>
      <c r="F29" s="60"/>
      <c r="G29" s="60"/>
      <c r="H29" s="60"/>
      <c r="I29" s="60"/>
      <c r="J29" s="60"/>
      <c r="K29" s="60"/>
      <c r="L29" s="60"/>
      <c r="M29" s="37"/>
    </row>
    <row r="30" spans="1:13" ht="15.75" customHeight="1" thickBot="1" x14ac:dyDescent="0.3">
      <c r="A30" s="37"/>
      <c r="B30" s="37"/>
      <c r="C30" s="37"/>
      <c r="D30" s="37"/>
      <c r="E30" s="37"/>
      <c r="F30" s="37"/>
      <c r="G30" s="37"/>
      <c r="H30" s="37"/>
      <c r="I30" s="37"/>
      <c r="J30" s="37"/>
      <c r="K30" s="37"/>
      <c r="L30" s="37"/>
      <c r="M30" s="47"/>
    </row>
    <row r="31" spans="1:13" ht="18.75" customHeight="1" thickBot="1" x14ac:dyDescent="0.3">
      <c r="A31" s="260" t="s">
        <v>13</v>
      </c>
      <c r="B31" s="261"/>
      <c r="C31" s="261"/>
      <c r="D31" s="261"/>
      <c r="E31" s="261"/>
      <c r="F31" s="261"/>
      <c r="G31" s="261"/>
      <c r="H31" s="261"/>
      <c r="I31" s="261"/>
      <c r="J31" s="261"/>
      <c r="K31" s="261"/>
      <c r="L31" s="262"/>
      <c r="M31" s="37"/>
    </row>
    <row r="32" spans="1:13" ht="18.75" customHeight="1" x14ac:dyDescent="0.25">
      <c r="A32" s="272" t="s">
        <v>30</v>
      </c>
      <c r="B32" s="270"/>
      <c r="C32" s="283" t="str">
        <f>IF(C34="","",LOOKUP(C34,Models,Description))</f>
        <v/>
      </c>
      <c r="D32" s="283"/>
      <c r="E32" s="283"/>
      <c r="F32" s="283"/>
      <c r="G32" s="283"/>
      <c r="H32" s="283"/>
      <c r="I32" s="270" t="s">
        <v>25</v>
      </c>
      <c r="J32" s="270"/>
      <c r="K32" s="283"/>
      <c r="L32" s="284"/>
      <c r="M32" s="37"/>
    </row>
    <row r="33" spans="1:13" ht="18.75" customHeight="1" x14ac:dyDescent="0.25">
      <c r="A33" s="245" t="s">
        <v>15</v>
      </c>
      <c r="B33" s="246"/>
      <c r="C33" s="317"/>
      <c r="D33" s="317"/>
      <c r="E33" s="246" t="s">
        <v>16</v>
      </c>
      <c r="F33" s="246"/>
      <c r="G33" s="247"/>
      <c r="H33" s="247"/>
      <c r="I33" s="246" t="s">
        <v>18</v>
      </c>
      <c r="J33" s="246"/>
      <c r="K33" s="247"/>
      <c r="L33" s="269"/>
      <c r="M33" s="37"/>
    </row>
    <row r="34" spans="1:13" ht="18.75" customHeight="1" x14ac:dyDescent="0.25">
      <c r="A34" s="245" t="s">
        <v>14</v>
      </c>
      <c r="B34" s="246"/>
      <c r="C34" s="247"/>
      <c r="D34" s="247"/>
      <c r="E34" s="246" t="s">
        <v>42</v>
      </c>
      <c r="F34" s="246"/>
      <c r="G34" s="247"/>
      <c r="H34" s="247"/>
      <c r="I34" s="246" t="s">
        <v>43</v>
      </c>
      <c r="J34" s="246"/>
      <c r="K34" s="247"/>
      <c r="L34" s="269"/>
      <c r="M34" s="37"/>
    </row>
    <row r="35" spans="1:13" ht="18.75" customHeight="1" x14ac:dyDescent="0.25">
      <c r="A35" s="245" t="s">
        <v>17</v>
      </c>
      <c r="B35" s="246"/>
      <c r="C35" s="247"/>
      <c r="D35" s="247"/>
      <c r="E35" s="246" t="s">
        <v>26</v>
      </c>
      <c r="F35" s="246"/>
      <c r="G35" s="247"/>
      <c r="H35" s="247"/>
      <c r="I35" s="246" t="s">
        <v>27</v>
      </c>
      <c r="J35" s="246"/>
      <c r="K35" s="247"/>
      <c r="L35" s="269"/>
      <c r="M35" s="37"/>
    </row>
    <row r="36" spans="1:13" ht="36" customHeight="1" thickBot="1" x14ac:dyDescent="0.3">
      <c r="A36" s="277" t="s">
        <v>19</v>
      </c>
      <c r="B36" s="278"/>
      <c r="C36" s="315" t="str">
        <f>IF(C34="","",LOOKUP(C34,Models,Accuracy))</f>
        <v/>
      </c>
      <c r="D36" s="315"/>
      <c r="E36" s="315"/>
      <c r="F36" s="315"/>
      <c r="G36" s="315"/>
      <c r="H36" s="315"/>
      <c r="I36" s="315"/>
      <c r="J36" s="315"/>
      <c r="K36" s="315"/>
      <c r="L36" s="316"/>
      <c r="M36" s="37"/>
    </row>
    <row r="37" spans="1:13" ht="15.75" customHeight="1" x14ac:dyDescent="0.25">
      <c r="A37" s="65"/>
      <c r="B37" s="65"/>
      <c r="C37" s="65"/>
      <c r="D37" s="65"/>
      <c r="E37" s="65"/>
      <c r="F37" s="65"/>
      <c r="G37" s="65"/>
      <c r="H37" s="65"/>
      <c r="I37" s="65"/>
      <c r="J37" s="65"/>
      <c r="K37" s="65"/>
      <c r="L37" s="65"/>
      <c r="M37" s="64"/>
    </row>
    <row r="38" spans="1:13" ht="15.75" customHeight="1" thickBot="1" x14ac:dyDescent="0.3">
      <c r="A38" s="64"/>
      <c r="B38" s="64"/>
      <c r="C38" s="64"/>
      <c r="D38" s="64"/>
      <c r="E38" s="64"/>
      <c r="F38" s="64"/>
      <c r="G38" s="64"/>
      <c r="H38" s="64"/>
      <c r="I38" s="64"/>
      <c r="J38" s="64"/>
      <c r="K38" s="64"/>
      <c r="L38" s="64"/>
      <c r="M38" s="47"/>
    </row>
    <row r="39" spans="1:13" ht="21.75" customHeight="1" thickBot="1" x14ac:dyDescent="0.3">
      <c r="A39" s="260" t="s">
        <v>7</v>
      </c>
      <c r="B39" s="261"/>
      <c r="C39" s="261"/>
      <c r="D39" s="261"/>
      <c r="E39" s="261"/>
      <c r="F39" s="261"/>
      <c r="G39" s="261"/>
      <c r="H39" s="261"/>
      <c r="I39" s="261"/>
      <c r="J39" s="261"/>
      <c r="K39" s="261"/>
      <c r="L39" s="262"/>
      <c r="M39" s="37"/>
    </row>
    <row r="40" spans="1:13" ht="21.75" customHeight="1" thickBot="1" x14ac:dyDescent="0.3">
      <c r="A40" s="263" t="s">
        <v>8</v>
      </c>
      <c r="B40" s="264"/>
      <c r="C40" s="24"/>
      <c r="D40" s="264" t="s">
        <v>9</v>
      </c>
      <c r="E40" s="264"/>
      <c r="F40" s="24"/>
      <c r="G40" s="264" t="s">
        <v>10</v>
      </c>
      <c r="H40" s="264"/>
      <c r="I40" s="24"/>
      <c r="J40" s="264" t="s">
        <v>11</v>
      </c>
      <c r="K40" s="264"/>
      <c r="L40" s="25"/>
      <c r="M40" s="37"/>
    </row>
    <row r="41" spans="1:13" ht="19.5" customHeight="1" x14ac:dyDescent="0.25">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260" t="s">
        <v>24</v>
      </c>
      <c r="B43" s="261"/>
      <c r="C43" s="261"/>
      <c r="D43" s="261"/>
      <c r="E43" s="261"/>
      <c r="F43" s="261"/>
      <c r="G43" s="261"/>
      <c r="H43" s="261"/>
      <c r="I43" s="261"/>
      <c r="J43" s="261"/>
      <c r="K43" s="261"/>
      <c r="L43" s="262"/>
      <c r="M43" s="37"/>
    </row>
    <row r="44" spans="1:13" ht="15.75" customHeight="1" x14ac:dyDescent="0.25">
      <c r="A44" s="250"/>
      <c r="B44" s="251"/>
      <c r="C44" s="251"/>
      <c r="D44" s="251"/>
      <c r="E44" s="251"/>
      <c r="F44" s="251"/>
      <c r="G44" s="251"/>
      <c r="H44" s="251"/>
      <c r="I44" s="251"/>
      <c r="J44" s="251"/>
      <c r="K44" s="251"/>
      <c r="L44" s="252"/>
      <c r="M44" s="37"/>
    </row>
    <row r="45" spans="1:13" ht="15.75" customHeight="1" x14ac:dyDescent="0.25">
      <c r="A45" s="253"/>
      <c r="B45" s="254"/>
      <c r="C45" s="254"/>
      <c r="D45" s="254"/>
      <c r="E45" s="254"/>
      <c r="F45" s="254"/>
      <c r="G45" s="254"/>
      <c r="H45" s="254"/>
      <c r="I45" s="254"/>
      <c r="J45" s="254"/>
      <c r="K45" s="254"/>
      <c r="L45" s="255"/>
      <c r="M45" s="37"/>
    </row>
    <row r="46" spans="1:13" ht="15.75" customHeight="1" thickBot="1" x14ac:dyDescent="0.3">
      <c r="A46" s="256"/>
      <c r="B46" s="257"/>
      <c r="C46" s="257"/>
      <c r="D46" s="257"/>
      <c r="E46" s="257"/>
      <c r="F46" s="257"/>
      <c r="G46" s="257"/>
      <c r="H46" s="257"/>
      <c r="I46" s="257"/>
      <c r="J46" s="257"/>
      <c r="K46" s="257"/>
      <c r="L46" s="258"/>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292" t="s">
        <v>47</v>
      </c>
      <c r="B49" s="293"/>
      <c r="C49" s="293"/>
      <c r="D49" s="293"/>
      <c r="E49" s="293"/>
      <c r="F49" s="293"/>
      <c r="G49" s="293"/>
      <c r="H49" s="293"/>
      <c r="I49" s="293"/>
      <c r="J49" s="293"/>
      <c r="K49" s="293"/>
      <c r="L49" s="293"/>
      <c r="M49" s="47"/>
    </row>
    <row r="50" spans="1:13" ht="21.75" customHeight="1" x14ac:dyDescent="0.25">
      <c r="A50" s="293"/>
      <c r="B50" s="293"/>
      <c r="C50" s="293"/>
      <c r="D50" s="293"/>
      <c r="E50" s="293"/>
      <c r="F50" s="293"/>
      <c r="G50" s="293"/>
      <c r="H50" s="293"/>
      <c r="I50" s="293"/>
      <c r="J50" s="293"/>
      <c r="K50" s="293"/>
      <c r="L50" s="293"/>
      <c r="M50" s="47"/>
    </row>
    <row r="51" spans="1:13" ht="22.5" customHeight="1" x14ac:dyDescent="0.25">
      <c r="A51" s="292" t="s">
        <v>1770</v>
      </c>
      <c r="B51" s="293"/>
      <c r="C51" s="293"/>
      <c r="D51" s="293"/>
      <c r="E51" s="293"/>
      <c r="F51" s="293"/>
      <c r="G51" s="293"/>
      <c r="H51" s="293"/>
      <c r="I51" s="293"/>
      <c r="J51" s="293"/>
      <c r="K51" s="293"/>
      <c r="L51" s="293"/>
      <c r="M51" s="147"/>
    </row>
    <row r="52" spans="1:13" ht="22.5" customHeight="1" x14ac:dyDescent="0.25">
      <c r="A52" s="293"/>
      <c r="B52" s="293"/>
      <c r="C52" s="293"/>
      <c r="D52" s="293"/>
      <c r="E52" s="293"/>
      <c r="F52" s="293"/>
      <c r="G52" s="293"/>
      <c r="H52" s="293"/>
      <c r="I52" s="293"/>
      <c r="J52" s="293"/>
      <c r="K52" s="293"/>
      <c r="L52" s="293"/>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310"/>
      <c r="J54" s="310"/>
      <c r="K54" s="310"/>
      <c r="L54" s="310"/>
      <c r="M54" s="47"/>
    </row>
    <row r="55" spans="1:13" ht="15.75" customHeight="1" thickBot="1" x14ac:dyDescent="0.3">
      <c r="A55" s="287" t="s">
        <v>12</v>
      </c>
      <c r="B55" s="287"/>
      <c r="C55" s="286"/>
      <c r="D55" s="286"/>
      <c r="E55" s="286"/>
      <c r="F55" s="286"/>
      <c r="G55" s="287" t="s">
        <v>40</v>
      </c>
      <c r="H55" s="287"/>
      <c r="I55" s="311"/>
      <c r="J55" s="311"/>
      <c r="K55" s="311"/>
      <c r="L55" s="311"/>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287" t="s">
        <v>49</v>
      </c>
      <c r="B57" s="287"/>
      <c r="C57" s="286"/>
      <c r="D57" s="286"/>
      <c r="E57" s="286"/>
      <c r="F57" s="286"/>
      <c r="G57" s="287" t="s">
        <v>41</v>
      </c>
      <c r="H57" s="287"/>
      <c r="I57" s="286"/>
      <c r="J57" s="286"/>
      <c r="K57" s="286"/>
      <c r="L57" s="286"/>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301"/>
      <c r="B60" s="302"/>
      <c r="C60" s="302"/>
      <c r="D60" s="302"/>
      <c r="E60" s="302"/>
      <c r="F60" s="302"/>
      <c r="G60" s="302"/>
      <c r="H60" s="302"/>
      <c r="I60" s="302"/>
      <c r="J60" s="302"/>
      <c r="K60" s="302"/>
      <c r="L60" s="303"/>
      <c r="M60" s="147"/>
    </row>
    <row r="61" spans="1:13" ht="15.75" customHeight="1" x14ac:dyDescent="0.25">
      <c r="A61" s="304"/>
      <c r="B61" s="305"/>
      <c r="C61" s="305"/>
      <c r="D61" s="305"/>
      <c r="E61" s="305"/>
      <c r="F61" s="305"/>
      <c r="G61" s="305"/>
      <c r="H61" s="305"/>
      <c r="I61" s="305"/>
      <c r="J61" s="305"/>
      <c r="K61" s="305"/>
      <c r="L61" s="306"/>
      <c r="M61" s="147"/>
    </row>
    <row r="62" spans="1:13" ht="15.75" customHeight="1" x14ac:dyDescent="0.25">
      <c r="A62" s="304"/>
      <c r="B62" s="305"/>
      <c r="C62" s="305"/>
      <c r="D62" s="305"/>
      <c r="E62" s="305"/>
      <c r="F62" s="305"/>
      <c r="G62" s="305"/>
      <c r="H62" s="305"/>
      <c r="I62" s="305"/>
      <c r="J62" s="305"/>
      <c r="K62" s="305"/>
      <c r="L62" s="306"/>
      <c r="M62" s="55"/>
    </row>
    <row r="63" spans="1:13" ht="15.75" customHeight="1" thickBot="1" x14ac:dyDescent="0.3">
      <c r="A63" s="307"/>
      <c r="B63" s="308"/>
      <c r="C63" s="308"/>
      <c r="D63" s="308"/>
      <c r="E63" s="308"/>
      <c r="F63" s="308"/>
      <c r="G63" s="308"/>
      <c r="H63" s="308"/>
      <c r="I63" s="308"/>
      <c r="J63" s="308"/>
      <c r="K63" s="308"/>
      <c r="L63" s="309"/>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289"/>
      <c r="B66" s="289"/>
      <c r="C66" s="289"/>
      <c r="D66" s="289"/>
      <c r="E66" s="290" t="s">
        <v>48</v>
      </c>
      <c r="F66" s="290"/>
      <c r="G66" s="290"/>
      <c r="H66" s="290"/>
      <c r="I66" s="290"/>
      <c r="J66" s="290"/>
      <c r="K66" s="290"/>
      <c r="L66" s="290"/>
      <c r="M66" s="37"/>
    </row>
    <row r="67" spans="1:16" ht="15.75" customHeight="1" x14ac:dyDescent="0.25">
      <c r="A67" s="289"/>
      <c r="B67" s="289"/>
      <c r="C67" s="289"/>
      <c r="D67" s="289"/>
      <c r="E67" s="290"/>
      <c r="F67" s="290"/>
      <c r="G67" s="290"/>
      <c r="H67" s="290"/>
      <c r="I67" s="290"/>
      <c r="J67" s="290"/>
      <c r="K67" s="290"/>
      <c r="L67" s="290"/>
      <c r="M67" s="37"/>
    </row>
    <row r="68" spans="1:16" ht="15.75" customHeight="1" x14ac:dyDescent="0.25">
      <c r="A68" s="289"/>
      <c r="B68" s="289"/>
      <c r="C68" s="289"/>
      <c r="D68" s="289"/>
      <c r="E68" s="290"/>
      <c r="F68" s="290"/>
      <c r="G68" s="290"/>
      <c r="H68" s="290"/>
      <c r="I68" s="290"/>
      <c r="J68" s="290"/>
      <c r="K68" s="290"/>
      <c r="L68" s="290"/>
      <c r="M68" s="37"/>
    </row>
    <row r="69" spans="1:16" ht="15.75" customHeight="1" x14ac:dyDescent="0.25">
      <c r="A69" s="289"/>
      <c r="B69" s="289"/>
      <c r="C69" s="289"/>
      <c r="D69" s="289"/>
      <c r="E69" s="299" t="s">
        <v>51</v>
      </c>
      <c r="F69" s="299"/>
      <c r="G69" s="299"/>
      <c r="H69" s="299"/>
      <c r="I69" s="299"/>
      <c r="J69" s="299"/>
      <c r="K69" s="299"/>
      <c r="L69" s="299"/>
      <c r="M69" s="37"/>
    </row>
    <row r="70" spans="1:16" ht="15.75" customHeight="1" x14ac:dyDescent="0.25">
      <c r="A70" s="289"/>
      <c r="B70" s="289"/>
      <c r="C70" s="289"/>
      <c r="D70" s="289"/>
      <c r="E70" s="299"/>
      <c r="F70" s="299"/>
      <c r="G70" s="299"/>
      <c r="H70" s="299"/>
      <c r="I70" s="299"/>
      <c r="J70" s="299"/>
      <c r="K70" s="299"/>
      <c r="L70" s="299"/>
      <c r="M70" s="37"/>
    </row>
    <row r="71" spans="1:16" ht="15.75" customHeight="1" x14ac:dyDescent="0.25">
      <c r="A71" s="289"/>
      <c r="B71" s="289"/>
      <c r="C71" s="289"/>
      <c r="D71" s="289"/>
      <c r="E71" s="299"/>
      <c r="F71" s="299"/>
      <c r="G71" s="299"/>
      <c r="H71" s="299"/>
      <c r="I71" s="299"/>
      <c r="J71" s="299"/>
      <c r="K71" s="299"/>
      <c r="L71" s="299"/>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260" t="str">
        <f>IF(K32="","",IF(K32="New","Calibration Data: As Found/As Left",IF(K32="Used","Calibration Data: As Found/As Left",IF(K32="Repaired","Calibration Data: As Found",))))</f>
        <v/>
      </c>
      <c r="C74" s="261"/>
      <c r="D74" s="261"/>
      <c r="E74" s="261"/>
      <c r="F74" s="261"/>
      <c r="G74" s="261"/>
      <c r="H74" s="261"/>
      <c r="I74" s="261"/>
      <c r="J74" s="261"/>
      <c r="K74" s="262"/>
      <c r="L74" s="37"/>
    </row>
    <row r="75" spans="1:16" ht="33" customHeight="1" x14ac:dyDescent="0.25">
      <c r="A75" s="37"/>
      <c r="B75" s="312" t="s">
        <v>0</v>
      </c>
      <c r="C75" s="313"/>
      <c r="D75" s="314" t="s">
        <v>2</v>
      </c>
      <c r="E75" s="313"/>
      <c r="F75" s="46" t="s">
        <v>1</v>
      </c>
      <c r="G75" s="314" t="s">
        <v>3</v>
      </c>
      <c r="H75" s="313"/>
      <c r="I75" s="314" t="s">
        <v>5</v>
      </c>
      <c r="J75" s="313"/>
      <c r="K75" s="27" t="s">
        <v>4</v>
      </c>
      <c r="L75" s="37"/>
      <c r="O75" s="99" t="s">
        <v>58</v>
      </c>
      <c r="P75" s="99" t="s">
        <v>59</v>
      </c>
    </row>
    <row r="76" spans="1:16" ht="15.75" customHeight="1" x14ac:dyDescent="0.25">
      <c r="A76" s="37"/>
      <c r="B76" s="300"/>
      <c r="C76" s="298"/>
      <c r="D76" s="297"/>
      <c r="E76" s="298"/>
      <c r="F76" s="44"/>
      <c r="G76" s="297" t="str">
        <f>IF(B76="","",B76-D76)</f>
        <v/>
      </c>
      <c r="H76" s="298"/>
      <c r="I76" s="297"/>
      <c r="J76" s="298"/>
      <c r="K76" s="50" t="str">
        <f>IF(G76="","",IF(AND(G76&gt;=-I76,G76&lt;=I76),"Pass","Fail"))</f>
        <v/>
      </c>
      <c r="L76" s="37"/>
      <c r="O76" s="10">
        <f>-I76</f>
        <v>0</v>
      </c>
      <c r="P76" s="10">
        <f>I76</f>
        <v>0</v>
      </c>
    </row>
    <row r="77" spans="1:16" ht="15.75" customHeight="1" x14ac:dyDescent="0.25">
      <c r="A77" s="37"/>
      <c r="B77" s="300"/>
      <c r="C77" s="298"/>
      <c r="D77" s="297"/>
      <c r="E77" s="298"/>
      <c r="F77" s="44"/>
      <c r="G77" s="297" t="str">
        <f t="shared" ref="G77:G95" si="0">IF(B77="","",B77-D77)</f>
        <v/>
      </c>
      <c r="H77" s="298"/>
      <c r="I77" s="297"/>
      <c r="J77" s="298"/>
      <c r="K77" s="50" t="str">
        <f t="shared" ref="K77:K96" si="1">IF(G77="","",IF(AND(G77&gt;=-I77,G77&lt;=I77),"Pass","Fail"))</f>
        <v/>
      </c>
      <c r="L77" s="37"/>
      <c r="O77" s="10">
        <f t="shared" ref="O77:O96" si="2">-I77</f>
        <v>0</v>
      </c>
      <c r="P77" s="10">
        <f t="shared" ref="P77:P96" si="3">I77</f>
        <v>0</v>
      </c>
    </row>
    <row r="78" spans="1:16" ht="15.75" customHeight="1" x14ac:dyDescent="0.25">
      <c r="A78" s="37"/>
      <c r="B78" s="300"/>
      <c r="C78" s="298"/>
      <c r="D78" s="297"/>
      <c r="E78" s="298"/>
      <c r="F78" s="44"/>
      <c r="G78" s="297" t="str">
        <f t="shared" si="0"/>
        <v/>
      </c>
      <c r="H78" s="298"/>
      <c r="I78" s="297"/>
      <c r="J78" s="298"/>
      <c r="K78" s="50" t="str">
        <f t="shared" si="1"/>
        <v/>
      </c>
      <c r="L78" s="37"/>
      <c r="O78" s="10">
        <f t="shared" si="2"/>
        <v>0</v>
      </c>
      <c r="P78" s="10">
        <f t="shared" si="3"/>
        <v>0</v>
      </c>
    </row>
    <row r="79" spans="1:16" ht="15.75" customHeight="1" x14ac:dyDescent="0.25">
      <c r="A79" s="37"/>
      <c r="B79" s="300"/>
      <c r="C79" s="298"/>
      <c r="D79" s="297"/>
      <c r="E79" s="298"/>
      <c r="F79" s="150"/>
      <c r="G79" s="297" t="str">
        <f t="shared" si="0"/>
        <v/>
      </c>
      <c r="H79" s="298"/>
      <c r="I79" s="297"/>
      <c r="J79" s="298"/>
      <c r="K79" s="152" t="str">
        <f t="shared" si="1"/>
        <v/>
      </c>
      <c r="L79" s="37"/>
      <c r="O79" s="10">
        <f t="shared" si="2"/>
        <v>0</v>
      </c>
      <c r="P79" s="10">
        <f t="shared" si="3"/>
        <v>0</v>
      </c>
    </row>
    <row r="80" spans="1:16" ht="15.75" customHeight="1" x14ac:dyDescent="0.25">
      <c r="A80" s="37"/>
      <c r="B80" s="300"/>
      <c r="C80" s="298"/>
      <c r="D80" s="297"/>
      <c r="E80" s="298"/>
      <c r="F80" s="150"/>
      <c r="G80" s="297" t="str">
        <f t="shared" si="0"/>
        <v/>
      </c>
      <c r="H80" s="298"/>
      <c r="I80" s="297"/>
      <c r="J80" s="298"/>
      <c r="K80" s="152" t="str">
        <f t="shared" si="1"/>
        <v/>
      </c>
      <c r="L80" s="37"/>
      <c r="O80" s="10">
        <f t="shared" si="2"/>
        <v>0</v>
      </c>
      <c r="P80" s="10">
        <f t="shared" si="3"/>
        <v>0</v>
      </c>
    </row>
    <row r="81" spans="1:16" ht="15.75" customHeight="1" x14ac:dyDescent="0.25">
      <c r="A81" s="37"/>
      <c r="B81" s="300"/>
      <c r="C81" s="298"/>
      <c r="D81" s="297"/>
      <c r="E81" s="298"/>
      <c r="F81" s="150"/>
      <c r="G81" s="297" t="str">
        <f t="shared" si="0"/>
        <v/>
      </c>
      <c r="H81" s="298"/>
      <c r="I81" s="297"/>
      <c r="J81" s="298"/>
      <c r="K81" s="152" t="str">
        <f t="shared" si="1"/>
        <v/>
      </c>
      <c r="L81" s="37"/>
      <c r="O81" s="10">
        <f t="shared" si="2"/>
        <v>0</v>
      </c>
      <c r="P81" s="10">
        <f t="shared" si="3"/>
        <v>0</v>
      </c>
    </row>
    <row r="82" spans="1:16" ht="15.75" customHeight="1" x14ac:dyDescent="0.25">
      <c r="A82" s="37"/>
      <c r="B82" s="300"/>
      <c r="C82" s="298"/>
      <c r="D82" s="297"/>
      <c r="E82" s="298"/>
      <c r="F82" s="150"/>
      <c r="G82" s="297" t="str">
        <f t="shared" si="0"/>
        <v/>
      </c>
      <c r="H82" s="298"/>
      <c r="I82" s="297"/>
      <c r="J82" s="298"/>
      <c r="K82" s="152" t="str">
        <f t="shared" si="1"/>
        <v/>
      </c>
      <c r="L82" s="37"/>
      <c r="O82" s="10">
        <f t="shared" si="2"/>
        <v>0</v>
      </c>
      <c r="P82" s="10">
        <f t="shared" si="3"/>
        <v>0</v>
      </c>
    </row>
    <row r="83" spans="1:16" ht="15.75" customHeight="1" x14ac:dyDescent="0.25">
      <c r="A83" s="37"/>
      <c r="B83" s="300"/>
      <c r="C83" s="298"/>
      <c r="D83" s="297"/>
      <c r="E83" s="298"/>
      <c r="F83" s="150"/>
      <c r="G83" s="297" t="str">
        <f t="shared" si="0"/>
        <v/>
      </c>
      <c r="H83" s="298"/>
      <c r="I83" s="297"/>
      <c r="J83" s="298"/>
      <c r="K83" s="152" t="str">
        <f t="shared" si="1"/>
        <v/>
      </c>
      <c r="L83" s="37"/>
      <c r="O83" s="10">
        <f t="shared" si="2"/>
        <v>0</v>
      </c>
      <c r="P83" s="10">
        <f t="shared" si="3"/>
        <v>0</v>
      </c>
    </row>
    <row r="84" spans="1:16" ht="15.75" customHeight="1" x14ac:dyDescent="0.25">
      <c r="A84" s="37"/>
      <c r="B84" s="300"/>
      <c r="C84" s="298"/>
      <c r="D84" s="297"/>
      <c r="E84" s="298"/>
      <c r="F84" s="150"/>
      <c r="G84" s="297" t="str">
        <f t="shared" si="0"/>
        <v/>
      </c>
      <c r="H84" s="298"/>
      <c r="I84" s="297"/>
      <c r="J84" s="298"/>
      <c r="K84" s="152" t="str">
        <f t="shared" si="1"/>
        <v/>
      </c>
      <c r="L84" s="37"/>
      <c r="O84" s="10">
        <f t="shared" si="2"/>
        <v>0</v>
      </c>
      <c r="P84" s="10">
        <f t="shared" si="3"/>
        <v>0</v>
      </c>
    </row>
    <row r="85" spans="1:16" ht="15.75" customHeight="1" x14ac:dyDescent="0.25">
      <c r="A85" s="37"/>
      <c r="B85" s="300"/>
      <c r="C85" s="298"/>
      <c r="D85" s="297"/>
      <c r="E85" s="298"/>
      <c r="F85" s="150"/>
      <c r="G85" s="297" t="str">
        <f t="shared" si="0"/>
        <v/>
      </c>
      <c r="H85" s="298"/>
      <c r="I85" s="297"/>
      <c r="J85" s="298"/>
      <c r="K85" s="152" t="str">
        <f t="shared" si="1"/>
        <v/>
      </c>
      <c r="L85" s="37"/>
      <c r="O85" s="10">
        <f t="shared" si="2"/>
        <v>0</v>
      </c>
      <c r="P85" s="10">
        <f t="shared" si="3"/>
        <v>0</v>
      </c>
    </row>
    <row r="86" spans="1:16" ht="15.75" customHeight="1" x14ac:dyDescent="0.25">
      <c r="A86" s="37"/>
      <c r="B86" s="300"/>
      <c r="C86" s="298"/>
      <c r="D86" s="297"/>
      <c r="E86" s="298"/>
      <c r="F86" s="150"/>
      <c r="G86" s="297" t="str">
        <f t="shared" si="0"/>
        <v/>
      </c>
      <c r="H86" s="298"/>
      <c r="I86" s="297"/>
      <c r="J86" s="298"/>
      <c r="K86" s="152" t="str">
        <f t="shared" si="1"/>
        <v/>
      </c>
      <c r="L86" s="37"/>
      <c r="O86" s="10">
        <f t="shared" si="2"/>
        <v>0</v>
      </c>
      <c r="P86" s="10">
        <f t="shared" si="3"/>
        <v>0</v>
      </c>
    </row>
    <row r="87" spans="1:16" ht="15.75" customHeight="1" x14ac:dyDescent="0.25">
      <c r="A87" s="37"/>
      <c r="B87" s="300"/>
      <c r="C87" s="298"/>
      <c r="D87" s="297"/>
      <c r="E87" s="298"/>
      <c r="F87" s="150"/>
      <c r="G87" s="297" t="str">
        <f t="shared" si="0"/>
        <v/>
      </c>
      <c r="H87" s="298"/>
      <c r="I87" s="297"/>
      <c r="J87" s="298"/>
      <c r="K87" s="152" t="str">
        <f t="shared" si="1"/>
        <v/>
      </c>
      <c r="L87" s="37"/>
      <c r="O87" s="10">
        <f t="shared" si="2"/>
        <v>0</v>
      </c>
      <c r="P87" s="10">
        <f t="shared" si="3"/>
        <v>0</v>
      </c>
    </row>
    <row r="88" spans="1:16" ht="15.75" customHeight="1" x14ac:dyDescent="0.25">
      <c r="A88" s="37"/>
      <c r="B88" s="300"/>
      <c r="C88" s="298"/>
      <c r="D88" s="297"/>
      <c r="E88" s="298"/>
      <c r="F88" s="150"/>
      <c r="G88" s="297" t="str">
        <f t="shared" si="0"/>
        <v/>
      </c>
      <c r="H88" s="298"/>
      <c r="I88" s="297"/>
      <c r="J88" s="298"/>
      <c r="K88" s="152" t="str">
        <f t="shared" si="1"/>
        <v/>
      </c>
      <c r="L88" s="37"/>
      <c r="O88" s="10">
        <f t="shared" si="2"/>
        <v>0</v>
      </c>
      <c r="P88" s="10">
        <f t="shared" si="3"/>
        <v>0</v>
      </c>
    </row>
    <row r="89" spans="1:16" ht="15.75" customHeight="1" x14ac:dyDescent="0.25">
      <c r="A89" s="37"/>
      <c r="B89" s="300"/>
      <c r="C89" s="298"/>
      <c r="D89" s="297"/>
      <c r="E89" s="298"/>
      <c r="F89" s="150"/>
      <c r="G89" s="297" t="str">
        <f t="shared" si="0"/>
        <v/>
      </c>
      <c r="H89" s="298"/>
      <c r="I89" s="297"/>
      <c r="J89" s="298"/>
      <c r="K89" s="152" t="str">
        <f t="shared" si="1"/>
        <v/>
      </c>
      <c r="L89" s="37"/>
      <c r="O89" s="10">
        <f t="shared" si="2"/>
        <v>0</v>
      </c>
      <c r="P89" s="10">
        <f t="shared" si="3"/>
        <v>0</v>
      </c>
    </row>
    <row r="90" spans="1:16" ht="15.75" customHeight="1" x14ac:dyDescent="0.25">
      <c r="A90" s="37"/>
      <c r="B90" s="300"/>
      <c r="C90" s="298"/>
      <c r="D90" s="297"/>
      <c r="E90" s="298"/>
      <c r="F90" s="150"/>
      <c r="G90" s="297" t="str">
        <f t="shared" si="0"/>
        <v/>
      </c>
      <c r="H90" s="298"/>
      <c r="I90" s="297"/>
      <c r="J90" s="298"/>
      <c r="K90" s="152" t="str">
        <f t="shared" si="1"/>
        <v/>
      </c>
      <c r="L90" s="37"/>
      <c r="O90" s="10">
        <f t="shared" si="2"/>
        <v>0</v>
      </c>
      <c r="P90" s="10">
        <f t="shared" si="3"/>
        <v>0</v>
      </c>
    </row>
    <row r="91" spans="1:16" ht="15.75" customHeight="1" x14ac:dyDescent="0.25">
      <c r="A91" s="37"/>
      <c r="B91" s="259"/>
      <c r="C91" s="247"/>
      <c r="D91" s="247"/>
      <c r="E91" s="247"/>
      <c r="F91" s="44"/>
      <c r="G91" s="297" t="str">
        <f t="shared" si="0"/>
        <v/>
      </c>
      <c r="H91" s="298"/>
      <c r="I91" s="247"/>
      <c r="J91" s="247"/>
      <c r="K91" s="152" t="str">
        <f t="shared" si="1"/>
        <v/>
      </c>
      <c r="L91" s="37"/>
      <c r="O91" s="10">
        <f t="shared" si="2"/>
        <v>0</v>
      </c>
      <c r="P91" s="10">
        <f t="shared" si="3"/>
        <v>0</v>
      </c>
    </row>
    <row r="92" spans="1:16" ht="15.75" customHeight="1" x14ac:dyDescent="0.25">
      <c r="A92" s="37"/>
      <c r="B92" s="259"/>
      <c r="C92" s="247"/>
      <c r="D92" s="247"/>
      <c r="E92" s="247"/>
      <c r="F92" s="44"/>
      <c r="G92" s="297" t="str">
        <f t="shared" si="0"/>
        <v/>
      </c>
      <c r="H92" s="298"/>
      <c r="I92" s="247"/>
      <c r="J92" s="247"/>
      <c r="K92" s="152" t="str">
        <f t="shared" si="1"/>
        <v/>
      </c>
      <c r="L92" s="37"/>
      <c r="O92" s="10">
        <f t="shared" si="2"/>
        <v>0</v>
      </c>
      <c r="P92" s="10">
        <f t="shared" si="3"/>
        <v>0</v>
      </c>
    </row>
    <row r="93" spans="1:16" ht="15.75" customHeight="1" x14ac:dyDescent="0.25">
      <c r="A93" s="37"/>
      <c r="B93" s="259"/>
      <c r="C93" s="247"/>
      <c r="D93" s="247"/>
      <c r="E93" s="247"/>
      <c r="F93" s="44"/>
      <c r="G93" s="297" t="str">
        <f t="shared" si="0"/>
        <v/>
      </c>
      <c r="H93" s="298"/>
      <c r="I93" s="247"/>
      <c r="J93" s="247"/>
      <c r="K93" s="152" t="str">
        <f t="shared" si="1"/>
        <v/>
      </c>
      <c r="L93" s="37"/>
      <c r="O93" s="10">
        <f t="shared" si="2"/>
        <v>0</v>
      </c>
      <c r="P93" s="10">
        <f t="shared" si="3"/>
        <v>0</v>
      </c>
    </row>
    <row r="94" spans="1:16" ht="15.75" customHeight="1" x14ac:dyDescent="0.25">
      <c r="A94" s="37"/>
      <c r="B94" s="259"/>
      <c r="C94" s="247"/>
      <c r="D94" s="247"/>
      <c r="E94" s="247"/>
      <c r="F94" s="44"/>
      <c r="G94" s="297" t="str">
        <f t="shared" si="0"/>
        <v/>
      </c>
      <c r="H94" s="298"/>
      <c r="I94" s="247"/>
      <c r="J94" s="247"/>
      <c r="K94" s="152" t="str">
        <f t="shared" si="1"/>
        <v/>
      </c>
      <c r="L94" s="37"/>
      <c r="O94" s="10">
        <f t="shared" si="2"/>
        <v>0</v>
      </c>
      <c r="P94" s="10">
        <f t="shared" si="3"/>
        <v>0</v>
      </c>
    </row>
    <row r="95" spans="1:16" ht="15.75" customHeight="1" x14ac:dyDescent="0.25">
      <c r="A95" s="37"/>
      <c r="B95" s="259"/>
      <c r="C95" s="247"/>
      <c r="D95" s="247"/>
      <c r="E95" s="247"/>
      <c r="F95" s="44"/>
      <c r="G95" s="297" t="str">
        <f t="shared" si="0"/>
        <v/>
      </c>
      <c r="H95" s="298"/>
      <c r="I95" s="247"/>
      <c r="J95" s="247"/>
      <c r="K95" s="152" t="str">
        <f t="shared" si="1"/>
        <v/>
      </c>
      <c r="L95" s="37"/>
      <c r="O95" s="10">
        <f t="shared" si="2"/>
        <v>0</v>
      </c>
      <c r="P95" s="10">
        <f t="shared" si="3"/>
        <v>0</v>
      </c>
    </row>
    <row r="96" spans="1:16" ht="15.75" customHeight="1" thickBot="1" x14ac:dyDescent="0.3">
      <c r="A96" s="37"/>
      <c r="B96" s="267"/>
      <c r="C96" s="266"/>
      <c r="D96" s="266"/>
      <c r="E96" s="266"/>
      <c r="F96" s="45"/>
      <c r="G96" s="266" t="str">
        <f t="shared" ref="G96" si="4">IF(B96="","",B96-D96)</f>
        <v/>
      </c>
      <c r="H96" s="266"/>
      <c r="I96" s="266"/>
      <c r="J96" s="266"/>
      <c r="K96" s="49" t="str">
        <f t="shared" si="1"/>
        <v/>
      </c>
      <c r="L96" s="37"/>
      <c r="O96" s="10">
        <f t="shared" si="2"/>
        <v>0</v>
      </c>
      <c r="P96" s="10">
        <f t="shared" si="3"/>
        <v>0</v>
      </c>
    </row>
    <row r="119" spans="1:12" ht="15.75" customHeight="1" thickBot="1" x14ac:dyDescent="0.3"/>
    <row r="120" spans="1:12" ht="15" x14ac:dyDescent="0.25">
      <c r="A120" s="301"/>
      <c r="B120" s="302"/>
      <c r="C120" s="302"/>
      <c r="D120" s="302"/>
      <c r="E120" s="302"/>
      <c r="F120" s="302"/>
      <c r="G120" s="302"/>
      <c r="H120" s="302"/>
      <c r="I120" s="302"/>
      <c r="J120" s="302"/>
      <c r="K120" s="302"/>
      <c r="L120" s="303"/>
    </row>
    <row r="121" spans="1:12" ht="15.75" customHeight="1" x14ac:dyDescent="0.25">
      <c r="A121" s="304"/>
      <c r="B121" s="305"/>
      <c r="C121" s="305"/>
      <c r="D121" s="305"/>
      <c r="E121" s="305"/>
      <c r="F121" s="305"/>
      <c r="G121" s="305"/>
      <c r="H121" s="305"/>
      <c r="I121" s="305"/>
      <c r="J121" s="305"/>
      <c r="K121" s="305"/>
      <c r="L121" s="306"/>
    </row>
    <row r="122" spans="1:12" ht="15.75" customHeight="1" x14ac:dyDescent="0.25">
      <c r="A122" s="304"/>
      <c r="B122" s="305"/>
      <c r="C122" s="305"/>
      <c r="D122" s="305"/>
      <c r="E122" s="305"/>
      <c r="F122" s="305"/>
      <c r="G122" s="305"/>
      <c r="H122" s="305"/>
      <c r="I122" s="305"/>
      <c r="J122" s="305"/>
      <c r="K122" s="305"/>
      <c r="L122" s="306"/>
    </row>
    <row r="123" spans="1:12" ht="15.75" customHeight="1" thickBot="1" x14ac:dyDescent="0.3">
      <c r="A123" s="307"/>
      <c r="B123" s="308"/>
      <c r="C123" s="308"/>
      <c r="D123" s="308"/>
      <c r="E123" s="308"/>
      <c r="F123" s="308"/>
      <c r="G123" s="308"/>
      <c r="H123" s="308"/>
      <c r="I123" s="308"/>
      <c r="J123" s="308"/>
      <c r="K123" s="308"/>
      <c r="L123" s="309"/>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289"/>
      <c r="B126" s="289"/>
      <c r="C126" s="289"/>
      <c r="D126" s="289"/>
      <c r="E126" s="290" t="s">
        <v>48</v>
      </c>
      <c r="F126" s="290"/>
      <c r="G126" s="290"/>
      <c r="H126" s="290"/>
      <c r="I126" s="290"/>
      <c r="J126" s="290"/>
      <c r="K126" s="290"/>
      <c r="L126" s="290"/>
    </row>
    <row r="127" spans="1:12" ht="15.75" customHeight="1" x14ac:dyDescent="0.25">
      <c r="A127" s="289"/>
      <c r="B127" s="289"/>
      <c r="C127" s="289"/>
      <c r="D127" s="289"/>
      <c r="E127" s="290"/>
      <c r="F127" s="290"/>
      <c r="G127" s="290"/>
      <c r="H127" s="290"/>
      <c r="I127" s="290"/>
      <c r="J127" s="290"/>
      <c r="K127" s="290"/>
      <c r="L127" s="290"/>
    </row>
    <row r="128" spans="1:12" ht="15.75" customHeight="1" x14ac:dyDescent="0.25">
      <c r="A128" s="289"/>
      <c r="B128" s="289"/>
      <c r="C128" s="289"/>
      <c r="D128" s="289"/>
      <c r="E128" s="290"/>
      <c r="F128" s="290"/>
      <c r="G128" s="290"/>
      <c r="H128" s="290"/>
      <c r="I128" s="290"/>
      <c r="J128" s="290"/>
      <c r="K128" s="290"/>
      <c r="L128" s="290"/>
    </row>
    <row r="129" spans="1:16" ht="15.75" customHeight="1" x14ac:dyDescent="0.25">
      <c r="A129" s="289"/>
      <c r="B129" s="289"/>
      <c r="C129" s="289"/>
      <c r="D129" s="289"/>
      <c r="E129" s="299" t="s">
        <v>51</v>
      </c>
      <c r="F129" s="299"/>
      <c r="G129" s="299"/>
      <c r="H129" s="299"/>
      <c r="I129" s="299"/>
      <c r="J129" s="299"/>
      <c r="K129" s="299"/>
      <c r="L129" s="299"/>
    </row>
    <row r="130" spans="1:16" ht="15.75" customHeight="1" x14ac:dyDescent="0.25">
      <c r="A130" s="289"/>
      <c r="B130" s="289"/>
      <c r="C130" s="289"/>
      <c r="D130" s="289"/>
      <c r="E130" s="299"/>
      <c r="F130" s="299"/>
      <c r="G130" s="299"/>
      <c r="H130" s="299"/>
      <c r="I130" s="299"/>
      <c r="J130" s="299"/>
      <c r="K130" s="299"/>
      <c r="L130" s="299"/>
    </row>
    <row r="131" spans="1:16" ht="15.75" customHeight="1" x14ac:dyDescent="0.25">
      <c r="A131" s="289"/>
      <c r="B131" s="289"/>
      <c r="C131" s="289"/>
      <c r="D131" s="289"/>
      <c r="E131" s="299"/>
      <c r="F131" s="299"/>
      <c r="G131" s="299"/>
      <c r="H131" s="299"/>
      <c r="I131" s="299"/>
      <c r="J131" s="299"/>
      <c r="K131" s="299"/>
      <c r="L131" s="299"/>
    </row>
    <row r="133" spans="1:16" ht="15.75" customHeight="1" thickBot="1" x14ac:dyDescent="0.3"/>
    <row r="134" spans="1:16" ht="15.75" customHeight="1" thickBot="1" x14ac:dyDescent="0.3">
      <c r="B134" s="260" t="str">
        <f>IF(K32="","",IF(K32="Repaired","Calibration Data: As Left",""))</f>
        <v/>
      </c>
      <c r="C134" s="261"/>
      <c r="D134" s="261"/>
      <c r="E134" s="261"/>
      <c r="F134" s="261"/>
      <c r="G134" s="261"/>
      <c r="H134" s="261"/>
      <c r="I134" s="261"/>
      <c r="J134" s="261"/>
      <c r="K134" s="262"/>
      <c r="L134" s="37"/>
    </row>
    <row r="135" spans="1:16" ht="33" customHeight="1" x14ac:dyDescent="0.25">
      <c r="B135" s="312" t="s">
        <v>0</v>
      </c>
      <c r="C135" s="313"/>
      <c r="D135" s="314" t="s">
        <v>2</v>
      </c>
      <c r="E135" s="313"/>
      <c r="F135" s="51" t="s">
        <v>1</v>
      </c>
      <c r="G135" s="314" t="s">
        <v>3</v>
      </c>
      <c r="H135" s="313"/>
      <c r="I135" s="314" t="s">
        <v>5</v>
      </c>
      <c r="J135" s="313"/>
      <c r="K135" s="27" t="s">
        <v>4</v>
      </c>
      <c r="L135" s="37"/>
      <c r="O135" s="99" t="s">
        <v>58</v>
      </c>
      <c r="P135" s="99" t="s">
        <v>59</v>
      </c>
    </row>
    <row r="136" spans="1:16" ht="15.75" customHeight="1" x14ac:dyDescent="0.25">
      <c r="B136" s="300"/>
      <c r="C136" s="298"/>
      <c r="D136" s="297"/>
      <c r="E136" s="298"/>
      <c r="F136" s="52"/>
      <c r="G136" s="297" t="str">
        <f>IF(B136="","",B136-D136)</f>
        <v/>
      </c>
      <c r="H136" s="298"/>
      <c r="I136" s="297"/>
      <c r="J136" s="298"/>
      <c r="K136" s="56" t="str">
        <f>IF(G136="","",IF(AND(G136&gt;=-I136,G136&lt;=I136),"Pass","Fail"))</f>
        <v/>
      </c>
      <c r="L136" s="37"/>
      <c r="O136" s="10">
        <f>-I136</f>
        <v>0</v>
      </c>
      <c r="P136" s="10">
        <f>I136</f>
        <v>0</v>
      </c>
    </row>
    <row r="137" spans="1:16" ht="15.75" customHeight="1" x14ac:dyDescent="0.25">
      <c r="B137" s="300"/>
      <c r="C137" s="298"/>
      <c r="D137" s="297"/>
      <c r="E137" s="298"/>
      <c r="F137" s="150"/>
      <c r="G137" s="297" t="str">
        <f t="shared" ref="G137:G154" si="5">IF(B137="","",B137-D137)</f>
        <v/>
      </c>
      <c r="H137" s="298"/>
      <c r="I137" s="297"/>
      <c r="J137" s="298"/>
      <c r="K137" s="152" t="str">
        <f t="shared" ref="K137:K154" si="6">IF(G137="","",IF(AND(G137&gt;=-I137,G137&lt;=I137),"Pass","Fail"))</f>
        <v/>
      </c>
      <c r="L137" s="37"/>
      <c r="O137" s="10">
        <f t="shared" ref="O137:O155" si="7">-I137</f>
        <v>0</v>
      </c>
      <c r="P137" s="10">
        <f t="shared" ref="P137:P155" si="8">I137</f>
        <v>0</v>
      </c>
    </row>
    <row r="138" spans="1:16" ht="15.75" customHeight="1" x14ac:dyDescent="0.25">
      <c r="B138" s="300"/>
      <c r="C138" s="298"/>
      <c r="D138" s="297"/>
      <c r="E138" s="298"/>
      <c r="F138" s="150"/>
      <c r="G138" s="297" t="str">
        <f t="shared" si="5"/>
        <v/>
      </c>
      <c r="H138" s="298"/>
      <c r="I138" s="297"/>
      <c r="J138" s="298"/>
      <c r="K138" s="152" t="str">
        <f t="shared" si="6"/>
        <v/>
      </c>
      <c r="L138" s="37"/>
      <c r="O138" s="10">
        <f t="shared" si="7"/>
        <v>0</v>
      </c>
      <c r="P138" s="10">
        <f t="shared" si="8"/>
        <v>0</v>
      </c>
    </row>
    <row r="139" spans="1:16" ht="15.75" customHeight="1" x14ac:dyDescent="0.25">
      <c r="B139" s="300"/>
      <c r="C139" s="298"/>
      <c r="D139" s="297"/>
      <c r="E139" s="298"/>
      <c r="F139" s="150"/>
      <c r="G139" s="297" t="str">
        <f t="shared" si="5"/>
        <v/>
      </c>
      <c r="H139" s="298"/>
      <c r="I139" s="297"/>
      <c r="J139" s="298"/>
      <c r="K139" s="152" t="str">
        <f t="shared" si="6"/>
        <v/>
      </c>
      <c r="L139" s="37"/>
      <c r="O139" s="10">
        <f t="shared" si="7"/>
        <v>0</v>
      </c>
      <c r="P139" s="10">
        <f t="shared" si="8"/>
        <v>0</v>
      </c>
    </row>
    <row r="140" spans="1:16" ht="15.75" customHeight="1" x14ac:dyDescent="0.25">
      <c r="B140" s="300"/>
      <c r="C140" s="298"/>
      <c r="D140" s="297"/>
      <c r="E140" s="298"/>
      <c r="F140" s="150"/>
      <c r="G140" s="297" t="str">
        <f t="shared" si="5"/>
        <v/>
      </c>
      <c r="H140" s="298"/>
      <c r="I140" s="297"/>
      <c r="J140" s="298"/>
      <c r="K140" s="152" t="str">
        <f t="shared" si="6"/>
        <v/>
      </c>
      <c r="L140" s="37"/>
      <c r="O140" s="10">
        <f t="shared" si="7"/>
        <v>0</v>
      </c>
      <c r="P140" s="10">
        <f t="shared" si="8"/>
        <v>0</v>
      </c>
    </row>
    <row r="141" spans="1:16" ht="15.75" customHeight="1" x14ac:dyDescent="0.25">
      <c r="B141" s="300"/>
      <c r="C141" s="298"/>
      <c r="D141" s="297"/>
      <c r="E141" s="298"/>
      <c r="F141" s="150"/>
      <c r="G141" s="297" t="str">
        <f t="shared" si="5"/>
        <v/>
      </c>
      <c r="H141" s="298"/>
      <c r="I141" s="297"/>
      <c r="J141" s="298"/>
      <c r="K141" s="152" t="str">
        <f t="shared" si="6"/>
        <v/>
      </c>
      <c r="L141" s="37"/>
      <c r="O141" s="10">
        <f t="shared" si="7"/>
        <v>0</v>
      </c>
      <c r="P141" s="10">
        <f t="shared" si="8"/>
        <v>0</v>
      </c>
    </row>
    <row r="142" spans="1:16" ht="15.75" customHeight="1" x14ac:dyDescent="0.25">
      <c r="B142" s="300"/>
      <c r="C142" s="298"/>
      <c r="D142" s="297"/>
      <c r="E142" s="298"/>
      <c r="F142" s="150"/>
      <c r="G142" s="297" t="str">
        <f t="shared" si="5"/>
        <v/>
      </c>
      <c r="H142" s="298"/>
      <c r="I142" s="297"/>
      <c r="J142" s="298"/>
      <c r="K142" s="152" t="str">
        <f t="shared" si="6"/>
        <v/>
      </c>
      <c r="L142" s="37"/>
      <c r="O142" s="10">
        <f t="shared" si="7"/>
        <v>0</v>
      </c>
      <c r="P142" s="10">
        <f t="shared" si="8"/>
        <v>0</v>
      </c>
    </row>
    <row r="143" spans="1:16" ht="15.75" customHeight="1" x14ac:dyDescent="0.25">
      <c r="B143" s="300"/>
      <c r="C143" s="298"/>
      <c r="D143" s="297"/>
      <c r="E143" s="298"/>
      <c r="F143" s="150"/>
      <c r="G143" s="297" t="str">
        <f t="shared" si="5"/>
        <v/>
      </c>
      <c r="H143" s="298"/>
      <c r="I143" s="297"/>
      <c r="J143" s="298"/>
      <c r="K143" s="152" t="str">
        <f t="shared" si="6"/>
        <v/>
      </c>
      <c r="L143" s="37"/>
      <c r="O143" s="10">
        <f t="shared" si="7"/>
        <v>0</v>
      </c>
      <c r="P143" s="10">
        <f t="shared" si="8"/>
        <v>0</v>
      </c>
    </row>
    <row r="144" spans="1:16" ht="15.75" customHeight="1" x14ac:dyDescent="0.25">
      <c r="B144" s="300"/>
      <c r="C144" s="298"/>
      <c r="D144" s="297"/>
      <c r="E144" s="298"/>
      <c r="F144" s="150"/>
      <c r="G144" s="297" t="str">
        <f t="shared" si="5"/>
        <v/>
      </c>
      <c r="H144" s="298"/>
      <c r="I144" s="297"/>
      <c r="J144" s="298"/>
      <c r="K144" s="152" t="str">
        <f t="shared" si="6"/>
        <v/>
      </c>
      <c r="L144" s="37"/>
      <c r="O144" s="10">
        <f t="shared" si="7"/>
        <v>0</v>
      </c>
      <c r="P144" s="10">
        <f t="shared" si="8"/>
        <v>0</v>
      </c>
    </row>
    <row r="145" spans="2:16" ht="15.75" customHeight="1" x14ac:dyDescent="0.25">
      <c r="B145" s="300"/>
      <c r="C145" s="298"/>
      <c r="D145" s="297"/>
      <c r="E145" s="298"/>
      <c r="F145" s="150"/>
      <c r="G145" s="297" t="str">
        <f t="shared" si="5"/>
        <v/>
      </c>
      <c r="H145" s="298"/>
      <c r="I145" s="297"/>
      <c r="J145" s="298"/>
      <c r="K145" s="152" t="str">
        <f t="shared" si="6"/>
        <v/>
      </c>
      <c r="L145" s="37"/>
      <c r="O145" s="10">
        <f t="shared" si="7"/>
        <v>0</v>
      </c>
      <c r="P145" s="10">
        <f t="shared" si="8"/>
        <v>0</v>
      </c>
    </row>
    <row r="146" spans="2:16" ht="15.75" customHeight="1" x14ac:dyDescent="0.25">
      <c r="B146" s="300"/>
      <c r="C146" s="298"/>
      <c r="D146" s="297"/>
      <c r="E146" s="298"/>
      <c r="F146" s="150"/>
      <c r="G146" s="297" t="str">
        <f t="shared" si="5"/>
        <v/>
      </c>
      <c r="H146" s="298"/>
      <c r="I146" s="297"/>
      <c r="J146" s="298"/>
      <c r="K146" s="152" t="str">
        <f t="shared" si="6"/>
        <v/>
      </c>
      <c r="L146" s="37"/>
      <c r="O146" s="10">
        <f t="shared" si="7"/>
        <v>0</v>
      </c>
      <c r="P146" s="10">
        <f t="shared" si="8"/>
        <v>0</v>
      </c>
    </row>
    <row r="147" spans="2:16" ht="15.75" customHeight="1" x14ac:dyDescent="0.25">
      <c r="B147" s="300"/>
      <c r="C147" s="298"/>
      <c r="D147" s="297"/>
      <c r="E147" s="298"/>
      <c r="F147" s="150"/>
      <c r="G147" s="297" t="str">
        <f t="shared" si="5"/>
        <v/>
      </c>
      <c r="H147" s="298"/>
      <c r="I147" s="297"/>
      <c r="J147" s="298"/>
      <c r="K147" s="152" t="str">
        <f t="shared" si="6"/>
        <v/>
      </c>
      <c r="L147" s="37"/>
      <c r="O147" s="10">
        <f t="shared" si="7"/>
        <v>0</v>
      </c>
      <c r="P147" s="10">
        <f t="shared" si="8"/>
        <v>0</v>
      </c>
    </row>
    <row r="148" spans="2:16" ht="15.75" customHeight="1" x14ac:dyDescent="0.25">
      <c r="B148" s="300"/>
      <c r="C148" s="298"/>
      <c r="D148" s="297"/>
      <c r="E148" s="298"/>
      <c r="F148" s="52"/>
      <c r="G148" s="297" t="str">
        <f t="shared" si="5"/>
        <v/>
      </c>
      <c r="H148" s="298"/>
      <c r="I148" s="297"/>
      <c r="J148" s="298"/>
      <c r="K148" s="152" t="str">
        <f t="shared" si="6"/>
        <v/>
      </c>
      <c r="L148" s="37"/>
      <c r="O148" s="10">
        <f t="shared" si="7"/>
        <v>0</v>
      </c>
      <c r="P148" s="10">
        <f t="shared" si="8"/>
        <v>0</v>
      </c>
    </row>
    <row r="149" spans="2:16" ht="15.75" customHeight="1" x14ac:dyDescent="0.25">
      <c r="B149" s="300"/>
      <c r="C149" s="298"/>
      <c r="D149" s="297"/>
      <c r="E149" s="298"/>
      <c r="F149" s="52"/>
      <c r="G149" s="297" t="str">
        <f t="shared" si="5"/>
        <v/>
      </c>
      <c r="H149" s="298"/>
      <c r="I149" s="297"/>
      <c r="J149" s="298"/>
      <c r="K149" s="152" t="str">
        <f t="shared" si="6"/>
        <v/>
      </c>
      <c r="L149" s="37"/>
      <c r="O149" s="10">
        <f t="shared" si="7"/>
        <v>0</v>
      </c>
      <c r="P149" s="10">
        <f t="shared" si="8"/>
        <v>0</v>
      </c>
    </row>
    <row r="150" spans="2:16" ht="15.75" customHeight="1" x14ac:dyDescent="0.25">
      <c r="B150" s="259"/>
      <c r="C150" s="247"/>
      <c r="D150" s="247"/>
      <c r="E150" s="247"/>
      <c r="F150" s="52"/>
      <c r="G150" s="297" t="str">
        <f t="shared" si="5"/>
        <v/>
      </c>
      <c r="H150" s="298"/>
      <c r="I150" s="247"/>
      <c r="J150" s="247"/>
      <c r="K150" s="152" t="str">
        <f t="shared" si="6"/>
        <v/>
      </c>
      <c r="L150" s="37"/>
      <c r="O150" s="10">
        <f t="shared" si="7"/>
        <v>0</v>
      </c>
      <c r="P150" s="10">
        <f t="shared" si="8"/>
        <v>0</v>
      </c>
    </row>
    <row r="151" spans="2:16" ht="15.75" customHeight="1" x14ac:dyDescent="0.25">
      <c r="B151" s="259"/>
      <c r="C151" s="247"/>
      <c r="D151" s="247"/>
      <c r="E151" s="247"/>
      <c r="F151" s="52"/>
      <c r="G151" s="297" t="str">
        <f t="shared" si="5"/>
        <v/>
      </c>
      <c r="H151" s="298"/>
      <c r="I151" s="247"/>
      <c r="J151" s="247"/>
      <c r="K151" s="152" t="str">
        <f t="shared" si="6"/>
        <v/>
      </c>
      <c r="L151" s="37"/>
      <c r="O151" s="10">
        <f t="shared" si="7"/>
        <v>0</v>
      </c>
      <c r="P151" s="10">
        <f t="shared" si="8"/>
        <v>0</v>
      </c>
    </row>
    <row r="152" spans="2:16" ht="15.75" customHeight="1" x14ac:dyDescent="0.25">
      <c r="B152" s="259"/>
      <c r="C152" s="247"/>
      <c r="D152" s="247"/>
      <c r="E152" s="247"/>
      <c r="F152" s="52"/>
      <c r="G152" s="297" t="str">
        <f t="shared" si="5"/>
        <v/>
      </c>
      <c r="H152" s="298"/>
      <c r="I152" s="247"/>
      <c r="J152" s="247"/>
      <c r="K152" s="152" t="str">
        <f t="shared" si="6"/>
        <v/>
      </c>
      <c r="L152" s="37"/>
      <c r="O152" s="10">
        <f t="shared" si="7"/>
        <v>0</v>
      </c>
      <c r="P152" s="10">
        <f t="shared" si="8"/>
        <v>0</v>
      </c>
    </row>
    <row r="153" spans="2:16" ht="15.75" customHeight="1" x14ac:dyDescent="0.25">
      <c r="B153" s="259"/>
      <c r="C153" s="247"/>
      <c r="D153" s="247"/>
      <c r="E153" s="247"/>
      <c r="F153" s="52"/>
      <c r="G153" s="297" t="str">
        <f t="shared" si="5"/>
        <v/>
      </c>
      <c r="H153" s="298"/>
      <c r="I153" s="247"/>
      <c r="J153" s="247"/>
      <c r="K153" s="152" t="str">
        <f t="shared" si="6"/>
        <v/>
      </c>
      <c r="L153" s="37"/>
      <c r="O153" s="10">
        <f t="shared" si="7"/>
        <v>0</v>
      </c>
      <c r="P153" s="10">
        <f t="shared" si="8"/>
        <v>0</v>
      </c>
    </row>
    <row r="154" spans="2:16" ht="15.75" customHeight="1" x14ac:dyDescent="0.25">
      <c r="B154" s="259"/>
      <c r="C154" s="247"/>
      <c r="D154" s="247"/>
      <c r="E154" s="247"/>
      <c r="F154" s="52"/>
      <c r="G154" s="297" t="str">
        <f t="shared" si="5"/>
        <v/>
      </c>
      <c r="H154" s="298"/>
      <c r="I154" s="247"/>
      <c r="J154" s="247"/>
      <c r="K154" s="152" t="str">
        <f t="shared" si="6"/>
        <v/>
      </c>
      <c r="L154" s="37"/>
      <c r="O154" s="10">
        <f t="shared" si="7"/>
        <v>0</v>
      </c>
      <c r="P154" s="10">
        <f t="shared" si="8"/>
        <v>0</v>
      </c>
    </row>
    <row r="155" spans="2:16" ht="15.75" customHeight="1" thickBot="1" x14ac:dyDescent="0.3">
      <c r="B155" s="267"/>
      <c r="C155" s="266"/>
      <c r="D155" s="266"/>
      <c r="E155" s="266"/>
      <c r="F155" s="53"/>
      <c r="G155" s="266" t="str">
        <f t="shared" ref="G155" si="9">IF(B155="","",B155-D155)</f>
        <v/>
      </c>
      <c r="H155" s="266"/>
      <c r="I155" s="266"/>
      <c r="J155" s="266"/>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34:K134"/>
    <mergeCell ref="B135:C135"/>
    <mergeCell ref="D135:E135"/>
    <mergeCell ref="G135:H135"/>
    <mergeCell ref="I135:J135"/>
    <mergeCell ref="B136:C136"/>
    <mergeCell ref="D136:E136"/>
    <mergeCell ref="G136:H136"/>
    <mergeCell ref="I136:J136"/>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9:L39"/>
    <mergeCell ref="A40:B40"/>
    <mergeCell ref="D40:E40"/>
    <mergeCell ref="G40:H40"/>
    <mergeCell ref="J40:K40"/>
    <mergeCell ref="A35:B35"/>
    <mergeCell ref="C35:D35"/>
    <mergeCell ref="E35:F35"/>
    <mergeCell ref="G35:H35"/>
    <mergeCell ref="I35:J35"/>
    <mergeCell ref="K35:L35"/>
    <mergeCell ref="B74:K74"/>
    <mergeCell ref="B75:C75"/>
    <mergeCell ref="D75:E75"/>
    <mergeCell ref="G75:H75"/>
    <mergeCell ref="I75:J75"/>
    <mergeCell ref="B76:C76"/>
    <mergeCell ref="D76:E76"/>
    <mergeCell ref="G76:H76"/>
    <mergeCell ref="I76:J76"/>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G147:H147"/>
    <mergeCell ref="G146:H146"/>
    <mergeCell ref="G145:H145"/>
    <mergeCell ref="G144:H144"/>
    <mergeCell ref="G143:H143"/>
    <mergeCell ref="G142:H142"/>
    <mergeCell ref="G141:H141"/>
    <mergeCell ref="G140:H140"/>
    <mergeCell ref="G139:H139"/>
    <mergeCell ref="I147:J147"/>
    <mergeCell ref="I146:J146"/>
    <mergeCell ref="I145:J145"/>
    <mergeCell ref="I144:J144"/>
    <mergeCell ref="I143:J143"/>
    <mergeCell ref="I142:J142"/>
    <mergeCell ref="I141:J141"/>
    <mergeCell ref="I140:J140"/>
    <mergeCell ref="I139:J139"/>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s>
  <conditionalFormatting sqref="K157 K76:K96 K136:K155">
    <cfRule type="containsText" dxfId="45" priority="3" operator="containsText" text="Fail">
      <formula>NOT(ISERROR(SEARCH("Fail",K76)))</formula>
    </cfRule>
    <cfRule type="containsText" dxfId="44"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35">
      <c r="A1" s="328" t="s">
        <v>28</v>
      </c>
      <c r="B1" s="329"/>
      <c r="C1" s="329"/>
      <c r="D1" s="329"/>
      <c r="E1" s="329"/>
      <c r="F1" s="330"/>
      <c r="G1" s="328" t="s">
        <v>29</v>
      </c>
      <c r="H1" s="329"/>
      <c r="I1" s="329"/>
      <c r="J1" s="329"/>
      <c r="K1" s="329"/>
      <c r="L1" s="330"/>
    </row>
    <row r="2" spans="1:12" ht="19.5" customHeight="1" x14ac:dyDescent="0.3">
      <c r="A2" s="347" t="s">
        <v>31</v>
      </c>
      <c r="B2" s="275"/>
      <c r="C2" s="348"/>
      <c r="D2" s="348"/>
      <c r="E2" s="348"/>
      <c r="F2" s="349"/>
      <c r="G2" s="347" t="s">
        <v>36</v>
      </c>
      <c r="H2" s="275"/>
      <c r="I2" s="362"/>
      <c r="J2" s="362"/>
      <c r="K2" s="362"/>
      <c r="L2" s="363"/>
    </row>
    <row r="3" spans="1:12" ht="19.5" customHeight="1" x14ac:dyDescent="0.3">
      <c r="A3" s="351" t="s">
        <v>32</v>
      </c>
      <c r="B3" s="352"/>
      <c r="C3" s="342"/>
      <c r="D3" s="342"/>
      <c r="E3" s="342"/>
      <c r="F3" s="353"/>
      <c r="G3" s="351" t="s">
        <v>37</v>
      </c>
      <c r="H3" s="352"/>
      <c r="I3" s="342"/>
      <c r="J3" s="342"/>
      <c r="K3" s="342"/>
      <c r="L3" s="353"/>
    </row>
    <row r="4" spans="1:12" ht="19.5" customHeight="1" x14ac:dyDescent="0.3">
      <c r="A4" s="351"/>
      <c r="B4" s="352"/>
      <c r="C4" s="342"/>
      <c r="D4" s="342"/>
      <c r="E4" s="342"/>
      <c r="F4" s="353"/>
      <c r="G4" s="351" t="s">
        <v>38</v>
      </c>
      <c r="H4" s="352"/>
      <c r="I4" s="342"/>
      <c r="J4" s="342"/>
      <c r="K4" s="342"/>
      <c r="L4" s="353"/>
    </row>
    <row r="5" spans="1:12" ht="19.5" customHeight="1" x14ac:dyDescent="0.3">
      <c r="A5" s="351"/>
      <c r="B5" s="352"/>
      <c r="C5" s="342"/>
      <c r="D5" s="342"/>
      <c r="E5" s="342"/>
      <c r="F5" s="353"/>
      <c r="G5" s="351" t="s">
        <v>39</v>
      </c>
      <c r="H5" s="352"/>
      <c r="I5" s="360" t="s">
        <v>50</v>
      </c>
      <c r="J5" s="360"/>
      <c r="K5" s="360"/>
      <c r="L5" s="361"/>
    </row>
    <row r="6" spans="1:12" ht="19.5" customHeight="1" x14ac:dyDescent="0.3">
      <c r="A6" s="351"/>
      <c r="B6" s="352"/>
      <c r="C6" s="342"/>
      <c r="D6" s="342"/>
      <c r="E6" s="342"/>
      <c r="F6" s="353"/>
      <c r="G6" s="351" t="s">
        <v>34</v>
      </c>
      <c r="H6" s="352"/>
      <c r="I6" s="354"/>
      <c r="J6" s="354"/>
      <c r="K6" s="354"/>
      <c r="L6" s="355"/>
    </row>
    <row r="7" spans="1:12" ht="19.5" customHeight="1" thickBot="1" x14ac:dyDescent="0.35">
      <c r="A7" s="356" t="s">
        <v>33</v>
      </c>
      <c r="B7" s="357"/>
      <c r="C7" s="344"/>
      <c r="D7" s="344"/>
      <c r="E7" s="344"/>
      <c r="F7" s="350"/>
      <c r="G7" s="356" t="s">
        <v>35</v>
      </c>
      <c r="H7" s="357"/>
      <c r="I7" s="358"/>
      <c r="J7" s="358"/>
      <c r="K7" s="358"/>
      <c r="L7" s="359"/>
    </row>
    <row r="8" spans="1:12" ht="15.75" customHeight="1" x14ac:dyDescent="0.3">
      <c r="A8" s="2"/>
      <c r="B8" s="2"/>
      <c r="C8" s="2"/>
      <c r="D8" s="2"/>
      <c r="E8" s="2"/>
      <c r="F8" s="2"/>
      <c r="G8" s="2"/>
      <c r="H8" s="2"/>
      <c r="I8" s="2"/>
      <c r="J8" s="2"/>
      <c r="K8" s="2"/>
      <c r="L8" s="2"/>
    </row>
    <row r="9" spans="1:12" ht="22.5" customHeight="1" x14ac:dyDescent="0.3">
      <c r="A9" s="364" t="s">
        <v>52</v>
      </c>
      <c r="B9" s="364"/>
      <c r="C9" s="364"/>
      <c r="D9" s="364"/>
      <c r="E9" s="364"/>
      <c r="F9" s="364"/>
      <c r="G9" s="364"/>
      <c r="H9" s="364"/>
      <c r="I9" s="364"/>
      <c r="J9" s="364"/>
      <c r="K9" s="364"/>
      <c r="L9" s="364"/>
    </row>
    <row r="10" spans="1:12" ht="22.5" customHeight="1" x14ac:dyDescent="0.3">
      <c r="A10" s="364"/>
      <c r="B10" s="364"/>
      <c r="C10" s="364"/>
      <c r="D10" s="364"/>
      <c r="E10" s="364"/>
      <c r="F10" s="364"/>
      <c r="G10" s="364"/>
      <c r="H10" s="364"/>
      <c r="I10" s="364"/>
      <c r="J10" s="364"/>
      <c r="K10" s="364"/>
      <c r="L10" s="364"/>
    </row>
    <row r="11" spans="1:12" ht="15.75" customHeight="1" thickBot="1" x14ac:dyDescent="0.35">
      <c r="A11" s="2"/>
      <c r="B11" s="2"/>
      <c r="C11" s="2"/>
      <c r="D11" s="2"/>
      <c r="E11" s="2"/>
      <c r="F11" s="2"/>
      <c r="G11" s="2"/>
      <c r="H11" s="2"/>
      <c r="I11" s="2"/>
      <c r="J11" s="2"/>
      <c r="K11" s="2"/>
      <c r="L11" s="2"/>
    </row>
    <row r="12" spans="1:12" ht="19.5" customHeight="1" thickBot="1" x14ac:dyDescent="0.35">
      <c r="A12" s="328" t="s">
        <v>20</v>
      </c>
      <c r="B12" s="329"/>
      <c r="C12" s="329"/>
      <c r="D12" s="329"/>
      <c r="E12" s="329"/>
      <c r="F12" s="329"/>
      <c r="G12" s="329"/>
      <c r="H12" s="329"/>
      <c r="I12" s="329"/>
      <c r="J12" s="329"/>
      <c r="K12" s="329"/>
      <c r="L12" s="330"/>
    </row>
    <row r="13" spans="1:12" ht="19.5" customHeight="1" x14ac:dyDescent="0.3">
      <c r="A13" s="347" t="s">
        <v>23</v>
      </c>
      <c r="B13" s="275"/>
      <c r="C13" s="275"/>
      <c r="D13" s="275"/>
      <c r="E13" s="275" t="s">
        <v>22</v>
      </c>
      <c r="F13" s="275"/>
      <c r="G13" s="275" t="s">
        <v>21</v>
      </c>
      <c r="H13" s="275"/>
      <c r="I13" s="275" t="s">
        <v>53</v>
      </c>
      <c r="J13" s="275"/>
      <c r="K13" s="275" t="s">
        <v>54</v>
      </c>
      <c r="L13" s="276"/>
    </row>
    <row r="14" spans="1:12" ht="19.5" customHeight="1" x14ac:dyDescent="0.3">
      <c r="A14" s="341"/>
      <c r="B14" s="342"/>
      <c r="C14" s="342"/>
      <c r="D14" s="342"/>
      <c r="E14" s="342"/>
      <c r="F14" s="342"/>
      <c r="G14" s="342"/>
      <c r="H14" s="342"/>
      <c r="I14" s="342"/>
      <c r="J14" s="342"/>
      <c r="K14" s="342"/>
      <c r="L14" s="353"/>
    </row>
    <row r="15" spans="1:12" ht="19.5" customHeight="1" x14ac:dyDescent="0.3">
      <c r="A15" s="341"/>
      <c r="B15" s="342"/>
      <c r="C15" s="342"/>
      <c r="D15" s="342"/>
      <c r="E15" s="342"/>
      <c r="F15" s="342"/>
      <c r="G15" s="342"/>
      <c r="H15" s="342"/>
      <c r="I15" s="342"/>
      <c r="J15" s="342"/>
      <c r="K15" s="342"/>
      <c r="L15" s="353"/>
    </row>
    <row r="16" spans="1:12" ht="19.5" customHeight="1" x14ac:dyDescent="0.3">
      <c r="A16" s="341"/>
      <c r="B16" s="342"/>
      <c r="C16" s="342"/>
      <c r="D16" s="342"/>
      <c r="E16" s="342"/>
      <c r="F16" s="342"/>
      <c r="G16" s="342"/>
      <c r="H16" s="342"/>
      <c r="I16" s="342"/>
      <c r="J16" s="342"/>
      <c r="K16" s="342"/>
      <c r="L16" s="353"/>
    </row>
    <row r="17" spans="1:12" ht="19.5" customHeight="1" x14ac:dyDescent="0.3">
      <c r="A17" s="341"/>
      <c r="B17" s="342"/>
      <c r="C17" s="342"/>
      <c r="D17" s="342"/>
      <c r="E17" s="342"/>
      <c r="F17" s="342"/>
      <c r="G17" s="342"/>
      <c r="H17" s="342"/>
      <c r="I17" s="342"/>
      <c r="J17" s="342"/>
      <c r="K17" s="342"/>
      <c r="L17" s="353"/>
    </row>
    <row r="18" spans="1:12" ht="19.5" customHeight="1" thickBot="1" x14ac:dyDescent="0.35">
      <c r="A18" s="343"/>
      <c r="B18" s="344"/>
      <c r="C18" s="344"/>
      <c r="D18" s="344"/>
      <c r="E18" s="344"/>
      <c r="F18" s="344"/>
      <c r="G18" s="344"/>
      <c r="H18" s="344"/>
      <c r="I18" s="344"/>
      <c r="J18" s="344"/>
      <c r="K18" s="344"/>
      <c r="L18" s="350"/>
    </row>
    <row r="19" spans="1:12" ht="15.75" customHeight="1" thickBot="1" x14ac:dyDescent="0.35">
      <c r="A19" s="2"/>
      <c r="B19" s="2"/>
      <c r="C19" s="2"/>
      <c r="D19" s="2"/>
      <c r="E19" s="2"/>
      <c r="F19" s="2"/>
      <c r="G19" s="2"/>
      <c r="H19" s="2"/>
      <c r="I19" s="2"/>
      <c r="J19" s="2"/>
      <c r="K19" s="2"/>
      <c r="L19" s="2"/>
    </row>
    <row r="20" spans="1:12" ht="18.75" customHeight="1" thickBot="1" x14ac:dyDescent="0.35">
      <c r="A20" s="328" t="s">
        <v>13</v>
      </c>
      <c r="B20" s="329"/>
      <c r="C20" s="329"/>
      <c r="D20" s="329"/>
      <c r="E20" s="329"/>
      <c r="F20" s="329"/>
      <c r="G20" s="329"/>
      <c r="H20" s="329"/>
      <c r="I20" s="329"/>
      <c r="J20" s="329"/>
      <c r="K20" s="329"/>
      <c r="L20" s="330"/>
    </row>
    <row r="21" spans="1:12" ht="18.75" customHeight="1" x14ac:dyDescent="0.3">
      <c r="A21" s="347" t="s">
        <v>30</v>
      </c>
      <c r="B21" s="275"/>
      <c r="C21" s="348"/>
      <c r="D21" s="348"/>
      <c r="E21" s="348"/>
      <c r="F21" s="348"/>
      <c r="G21" s="348"/>
      <c r="H21" s="348"/>
      <c r="I21" s="275" t="s">
        <v>25</v>
      </c>
      <c r="J21" s="275"/>
      <c r="K21" s="348"/>
      <c r="L21" s="349"/>
    </row>
    <row r="22" spans="1:12" ht="18.75" customHeight="1" x14ac:dyDescent="0.3">
      <c r="A22" s="351" t="s">
        <v>15</v>
      </c>
      <c r="B22" s="352"/>
      <c r="C22" s="342"/>
      <c r="D22" s="342"/>
      <c r="E22" s="352" t="s">
        <v>16</v>
      </c>
      <c r="F22" s="352"/>
      <c r="G22" s="342"/>
      <c r="H22" s="342"/>
      <c r="I22" s="352" t="s">
        <v>18</v>
      </c>
      <c r="J22" s="352"/>
      <c r="K22" s="342"/>
      <c r="L22" s="353"/>
    </row>
    <row r="23" spans="1:12" ht="18.75" customHeight="1" x14ac:dyDescent="0.3">
      <c r="A23" s="351" t="s">
        <v>14</v>
      </c>
      <c r="B23" s="352"/>
      <c r="C23" s="342"/>
      <c r="D23" s="342"/>
      <c r="E23" s="352" t="s">
        <v>42</v>
      </c>
      <c r="F23" s="352"/>
      <c r="G23" s="342"/>
      <c r="H23" s="342"/>
      <c r="I23" s="352" t="s">
        <v>43</v>
      </c>
      <c r="J23" s="352"/>
      <c r="K23" s="342"/>
      <c r="L23" s="353"/>
    </row>
    <row r="24" spans="1:12" ht="18.75" customHeight="1" x14ac:dyDescent="0.3">
      <c r="A24" s="351" t="s">
        <v>17</v>
      </c>
      <c r="B24" s="352"/>
      <c r="C24" s="342"/>
      <c r="D24" s="342"/>
      <c r="E24" s="352" t="s">
        <v>26</v>
      </c>
      <c r="F24" s="352"/>
      <c r="G24" s="342"/>
      <c r="H24" s="342"/>
      <c r="I24" s="352" t="s">
        <v>27</v>
      </c>
      <c r="J24" s="352"/>
      <c r="K24" s="342"/>
      <c r="L24" s="353"/>
    </row>
    <row r="25" spans="1:12" ht="33" customHeight="1" x14ac:dyDescent="0.3">
      <c r="A25" s="351" t="s">
        <v>19</v>
      </c>
      <c r="B25" s="352"/>
      <c r="C25" s="342"/>
      <c r="D25" s="342"/>
      <c r="E25" s="342"/>
      <c r="F25" s="342"/>
      <c r="G25" s="342"/>
      <c r="H25" s="342"/>
      <c r="I25" s="342"/>
      <c r="J25" s="342"/>
      <c r="K25" s="342"/>
      <c r="L25" s="353"/>
    </row>
    <row r="26" spans="1:12" ht="18.75" customHeight="1" x14ac:dyDescent="0.3">
      <c r="A26" s="367"/>
      <c r="B26" s="368"/>
      <c r="C26" s="368"/>
      <c r="D26" s="369"/>
      <c r="E26" s="352" t="s">
        <v>42</v>
      </c>
      <c r="F26" s="352"/>
      <c r="G26" s="342"/>
      <c r="H26" s="342"/>
      <c r="I26" s="352" t="s">
        <v>43</v>
      </c>
      <c r="J26" s="352"/>
      <c r="K26" s="342"/>
      <c r="L26" s="353"/>
    </row>
    <row r="27" spans="1:12" ht="18.75" customHeight="1" x14ac:dyDescent="0.3">
      <c r="A27" s="351" t="s">
        <v>17</v>
      </c>
      <c r="B27" s="352"/>
      <c r="C27" s="342"/>
      <c r="D27" s="342"/>
      <c r="E27" s="352" t="s">
        <v>26</v>
      </c>
      <c r="F27" s="352"/>
      <c r="G27" s="342"/>
      <c r="H27" s="342"/>
      <c r="I27" s="352" t="s">
        <v>27</v>
      </c>
      <c r="J27" s="352"/>
      <c r="K27" s="342"/>
      <c r="L27" s="353"/>
    </row>
    <row r="28" spans="1:12" ht="33" customHeight="1" thickBot="1" x14ac:dyDescent="0.35">
      <c r="A28" s="356" t="s">
        <v>19</v>
      </c>
      <c r="B28" s="357"/>
      <c r="C28" s="344"/>
      <c r="D28" s="344"/>
      <c r="E28" s="344"/>
      <c r="F28" s="344"/>
      <c r="G28" s="344"/>
      <c r="H28" s="344"/>
      <c r="I28" s="344"/>
      <c r="J28" s="344"/>
      <c r="K28" s="344"/>
      <c r="L28" s="350"/>
    </row>
    <row r="29" spans="1:12" ht="15.75" customHeight="1" thickBot="1" x14ac:dyDescent="0.35">
      <c r="A29" s="3"/>
      <c r="B29" s="3"/>
      <c r="C29" s="3"/>
      <c r="D29" s="3"/>
      <c r="E29" s="3"/>
      <c r="F29" s="3"/>
      <c r="G29" s="3"/>
      <c r="H29" s="3"/>
      <c r="I29" s="3"/>
      <c r="J29" s="3"/>
      <c r="K29" s="3"/>
      <c r="L29" s="3"/>
    </row>
    <row r="30" spans="1:12" ht="21" customHeight="1" thickBot="1" x14ac:dyDescent="0.35">
      <c r="A30" s="328" t="s">
        <v>7</v>
      </c>
      <c r="B30" s="329"/>
      <c r="C30" s="329"/>
      <c r="D30" s="329"/>
      <c r="E30" s="329"/>
      <c r="F30" s="329"/>
      <c r="G30" s="329"/>
      <c r="H30" s="329"/>
      <c r="I30" s="329"/>
      <c r="J30" s="329"/>
      <c r="K30" s="329"/>
      <c r="L30" s="330"/>
    </row>
    <row r="31" spans="1:12" ht="21" customHeight="1" thickBot="1" x14ac:dyDescent="0.35">
      <c r="A31" s="365" t="s">
        <v>8</v>
      </c>
      <c r="B31" s="366"/>
      <c r="C31" s="16"/>
      <c r="D31" s="366" t="s">
        <v>9</v>
      </c>
      <c r="E31" s="366"/>
      <c r="F31" s="16"/>
      <c r="G31" s="366" t="s">
        <v>10</v>
      </c>
      <c r="H31" s="366"/>
      <c r="I31" s="16"/>
      <c r="J31" s="366" t="s">
        <v>11</v>
      </c>
      <c r="K31" s="366"/>
      <c r="L31" s="17"/>
    </row>
    <row r="32" spans="1:12" ht="15.75" customHeight="1" thickBot="1" x14ac:dyDescent="0.35">
      <c r="A32" s="2"/>
      <c r="B32" s="2"/>
      <c r="C32" s="2"/>
      <c r="D32" s="2"/>
      <c r="E32" s="2"/>
      <c r="F32" s="2"/>
      <c r="G32" s="2"/>
      <c r="H32" s="2"/>
      <c r="I32" s="2"/>
      <c r="J32" s="2"/>
      <c r="K32" s="2"/>
      <c r="L32" s="2"/>
    </row>
    <row r="33" spans="1:12" ht="18" customHeight="1" thickBot="1" x14ac:dyDescent="0.35">
      <c r="A33" s="4"/>
      <c r="B33" s="328" t="s">
        <v>6</v>
      </c>
      <c r="C33" s="329"/>
      <c r="D33" s="329"/>
      <c r="E33" s="329"/>
      <c r="F33" s="329"/>
      <c r="G33" s="329"/>
      <c r="H33" s="329"/>
      <c r="I33" s="329"/>
      <c r="J33" s="329"/>
      <c r="K33" s="330"/>
      <c r="L33" s="4"/>
    </row>
    <row r="34" spans="1:12" ht="40.5" customHeight="1" x14ac:dyDescent="0.3">
      <c r="A34" s="4"/>
      <c r="B34" s="345" t="s">
        <v>0</v>
      </c>
      <c r="C34" s="346"/>
      <c r="D34" s="346" t="s">
        <v>2</v>
      </c>
      <c r="E34" s="346"/>
      <c r="F34" s="18" t="s">
        <v>1</v>
      </c>
      <c r="G34" s="346" t="s">
        <v>3</v>
      </c>
      <c r="H34" s="346"/>
      <c r="I34" s="346" t="s">
        <v>5</v>
      </c>
      <c r="J34" s="346"/>
      <c r="K34" s="19" t="s">
        <v>4</v>
      </c>
      <c r="L34" s="4"/>
    </row>
    <row r="35" spans="1:12" ht="16.5" customHeight="1" x14ac:dyDescent="0.3">
      <c r="A35" s="4"/>
      <c r="B35" s="341"/>
      <c r="C35" s="342"/>
      <c r="D35" s="342"/>
      <c r="E35" s="342"/>
      <c r="F35" s="20"/>
      <c r="G35" s="342" t="str">
        <f>IF(B35="","",B35-D35)</f>
        <v/>
      </c>
      <c r="H35" s="342"/>
      <c r="I35" s="342"/>
      <c r="J35" s="342"/>
      <c r="K35" s="21" t="str">
        <f>IF(G35="","",IF(AND(G35&gt;=-I35,G35&lt;=I35),"Pass","Fail"))</f>
        <v/>
      </c>
      <c r="L35" s="4"/>
    </row>
    <row r="36" spans="1:12" ht="16.5" customHeight="1" x14ac:dyDescent="0.3">
      <c r="A36" s="4"/>
      <c r="B36" s="341"/>
      <c r="C36" s="342"/>
      <c r="D36" s="342"/>
      <c r="E36" s="342"/>
      <c r="F36" s="20"/>
      <c r="G36" s="342" t="str">
        <f t="shared" ref="G36:G43" si="0">IF(B36="","",B36-D36)</f>
        <v/>
      </c>
      <c r="H36" s="342"/>
      <c r="I36" s="342"/>
      <c r="J36" s="342"/>
      <c r="K36" s="21" t="str">
        <f t="shared" ref="K36:K43" si="1">IF(G36="","",IF(AND(G36&gt;=-I36,G36&lt;=I36),"Pass","Fail"))</f>
        <v/>
      </c>
      <c r="L36" s="4"/>
    </row>
    <row r="37" spans="1:12" ht="16.5" customHeight="1" x14ac:dyDescent="0.3">
      <c r="A37" s="4"/>
      <c r="B37" s="341"/>
      <c r="C37" s="342"/>
      <c r="D37" s="342"/>
      <c r="E37" s="342"/>
      <c r="F37" s="20"/>
      <c r="G37" s="342" t="str">
        <f t="shared" si="0"/>
        <v/>
      </c>
      <c r="H37" s="342"/>
      <c r="I37" s="342"/>
      <c r="J37" s="342"/>
      <c r="K37" s="21" t="str">
        <f t="shared" si="1"/>
        <v/>
      </c>
      <c r="L37" s="4"/>
    </row>
    <row r="38" spans="1:12" ht="16.5" customHeight="1" x14ac:dyDescent="0.3">
      <c r="A38" s="4"/>
      <c r="B38" s="341"/>
      <c r="C38" s="342"/>
      <c r="D38" s="342"/>
      <c r="E38" s="342"/>
      <c r="F38" s="20"/>
      <c r="G38" s="342" t="str">
        <f t="shared" si="0"/>
        <v/>
      </c>
      <c r="H38" s="342"/>
      <c r="I38" s="342"/>
      <c r="J38" s="342"/>
      <c r="K38" s="21" t="str">
        <f t="shared" si="1"/>
        <v/>
      </c>
      <c r="L38" s="4"/>
    </row>
    <row r="39" spans="1:12" ht="16.5" customHeight="1" x14ac:dyDescent="0.3">
      <c r="A39" s="4"/>
      <c r="B39" s="341"/>
      <c r="C39" s="342"/>
      <c r="D39" s="342"/>
      <c r="E39" s="342"/>
      <c r="F39" s="20"/>
      <c r="G39" s="342" t="str">
        <f t="shared" si="0"/>
        <v/>
      </c>
      <c r="H39" s="342"/>
      <c r="I39" s="342"/>
      <c r="J39" s="342"/>
      <c r="K39" s="21" t="str">
        <f t="shared" si="1"/>
        <v/>
      </c>
      <c r="L39" s="4"/>
    </row>
    <row r="40" spans="1:12" ht="16.5" customHeight="1" x14ac:dyDescent="0.3">
      <c r="A40" s="4"/>
      <c r="B40" s="341"/>
      <c r="C40" s="342"/>
      <c r="D40" s="342"/>
      <c r="E40" s="342"/>
      <c r="F40" s="20"/>
      <c r="G40" s="342" t="str">
        <f t="shared" si="0"/>
        <v/>
      </c>
      <c r="H40" s="342"/>
      <c r="I40" s="342"/>
      <c r="J40" s="342"/>
      <c r="K40" s="21" t="str">
        <f t="shared" si="1"/>
        <v/>
      </c>
      <c r="L40" s="4"/>
    </row>
    <row r="41" spans="1:12" ht="16.5" customHeight="1" x14ac:dyDescent="0.3">
      <c r="A41" s="4"/>
      <c r="B41" s="341"/>
      <c r="C41" s="342"/>
      <c r="D41" s="342"/>
      <c r="E41" s="342"/>
      <c r="F41" s="20"/>
      <c r="G41" s="342" t="str">
        <f t="shared" si="0"/>
        <v/>
      </c>
      <c r="H41" s="342"/>
      <c r="I41" s="342"/>
      <c r="J41" s="342"/>
      <c r="K41" s="21" t="str">
        <f t="shared" si="1"/>
        <v/>
      </c>
      <c r="L41" s="4"/>
    </row>
    <row r="42" spans="1:12" ht="16.5" customHeight="1" x14ac:dyDescent="0.3">
      <c r="A42" s="4"/>
      <c r="B42" s="341"/>
      <c r="C42" s="342"/>
      <c r="D42" s="342"/>
      <c r="E42" s="342"/>
      <c r="F42" s="20"/>
      <c r="G42" s="342" t="str">
        <f t="shared" si="0"/>
        <v/>
      </c>
      <c r="H42" s="342"/>
      <c r="I42" s="342"/>
      <c r="J42" s="342"/>
      <c r="K42" s="21" t="str">
        <f t="shared" si="1"/>
        <v/>
      </c>
      <c r="L42" s="4"/>
    </row>
    <row r="43" spans="1:12" ht="16.5" customHeight="1" thickBot="1" x14ac:dyDescent="0.35">
      <c r="A43" s="4"/>
      <c r="B43" s="343"/>
      <c r="C43" s="344"/>
      <c r="D43" s="344"/>
      <c r="E43" s="344"/>
      <c r="F43" s="22"/>
      <c r="G43" s="342" t="str">
        <f t="shared" si="0"/>
        <v/>
      </c>
      <c r="H43" s="342"/>
      <c r="I43" s="344"/>
      <c r="J43" s="344"/>
      <c r="K43" s="21" t="str">
        <f t="shared" si="1"/>
        <v/>
      </c>
      <c r="L43" s="4"/>
    </row>
    <row r="44" spans="1:12" ht="39" customHeight="1" x14ac:dyDescent="0.3">
      <c r="A44" s="4"/>
      <c r="B44" s="345" t="s">
        <v>0</v>
      </c>
      <c r="C44" s="346"/>
      <c r="D44" s="346" t="s">
        <v>2</v>
      </c>
      <c r="E44" s="346"/>
      <c r="F44" s="18" t="s">
        <v>1</v>
      </c>
      <c r="G44" s="346" t="s">
        <v>3</v>
      </c>
      <c r="H44" s="346"/>
      <c r="I44" s="346" t="s">
        <v>5</v>
      </c>
      <c r="J44" s="346"/>
      <c r="K44" s="19" t="s">
        <v>4</v>
      </c>
      <c r="L44" s="4"/>
    </row>
    <row r="45" spans="1:12" ht="16.5" customHeight="1" x14ac:dyDescent="0.3">
      <c r="A45" s="4"/>
      <c r="B45" s="341"/>
      <c r="C45" s="342"/>
      <c r="D45" s="342"/>
      <c r="E45" s="342"/>
      <c r="F45" s="20"/>
      <c r="G45" s="342" t="str">
        <f>IF(B45="","",B45-D45)</f>
        <v/>
      </c>
      <c r="H45" s="342"/>
      <c r="I45" s="342"/>
      <c r="J45" s="342"/>
      <c r="K45" s="21" t="str">
        <f>IF(G45="","",IF(AND(G45&gt;=-I45,G45&lt;=I45),"Pass","Fail"))</f>
        <v/>
      </c>
      <c r="L45" s="4"/>
    </row>
    <row r="46" spans="1:12" ht="16.5" customHeight="1" x14ac:dyDescent="0.3">
      <c r="A46" s="4"/>
      <c r="B46" s="341"/>
      <c r="C46" s="342"/>
      <c r="D46" s="342"/>
      <c r="E46" s="342"/>
      <c r="F46" s="20"/>
      <c r="G46" s="342" t="str">
        <f t="shared" ref="G46:G53" si="2">IF(B46="","",B46-D46)</f>
        <v/>
      </c>
      <c r="H46" s="342"/>
      <c r="I46" s="342"/>
      <c r="J46" s="342"/>
      <c r="K46" s="21" t="str">
        <f t="shared" ref="K46:K53" si="3">IF(G46="","",IF(AND(G46&gt;=-I46,G46&lt;=I46),"Pass","Fail"))</f>
        <v/>
      </c>
      <c r="L46" s="4"/>
    </row>
    <row r="47" spans="1:12" ht="16.5" customHeight="1" x14ac:dyDescent="0.3">
      <c r="A47" s="4"/>
      <c r="B47" s="341"/>
      <c r="C47" s="342"/>
      <c r="D47" s="342"/>
      <c r="E47" s="342"/>
      <c r="F47" s="20"/>
      <c r="G47" s="342" t="str">
        <f t="shared" si="2"/>
        <v/>
      </c>
      <c r="H47" s="342"/>
      <c r="I47" s="342"/>
      <c r="J47" s="342"/>
      <c r="K47" s="21" t="str">
        <f t="shared" si="3"/>
        <v/>
      </c>
      <c r="L47" s="4"/>
    </row>
    <row r="48" spans="1:12" ht="16.5" customHeight="1" x14ac:dyDescent="0.3">
      <c r="A48" s="4"/>
      <c r="B48" s="341"/>
      <c r="C48" s="342"/>
      <c r="D48" s="342"/>
      <c r="E48" s="342"/>
      <c r="F48" s="20"/>
      <c r="G48" s="342" t="str">
        <f t="shared" si="2"/>
        <v/>
      </c>
      <c r="H48" s="342"/>
      <c r="I48" s="342"/>
      <c r="J48" s="342"/>
      <c r="K48" s="21" t="str">
        <f t="shared" si="3"/>
        <v/>
      </c>
      <c r="L48" s="4"/>
    </row>
    <row r="49" spans="1:12" ht="16.5" customHeight="1" x14ac:dyDescent="0.3">
      <c r="A49" s="4"/>
      <c r="B49" s="341"/>
      <c r="C49" s="342"/>
      <c r="D49" s="342"/>
      <c r="E49" s="342"/>
      <c r="F49" s="20"/>
      <c r="G49" s="342" t="str">
        <f t="shared" si="2"/>
        <v/>
      </c>
      <c r="H49" s="342"/>
      <c r="I49" s="342"/>
      <c r="J49" s="342"/>
      <c r="K49" s="21" t="str">
        <f t="shared" si="3"/>
        <v/>
      </c>
      <c r="L49" s="4"/>
    </row>
    <row r="50" spans="1:12" ht="16.5" customHeight="1" x14ac:dyDescent="0.3">
      <c r="A50" s="4"/>
      <c r="B50" s="341"/>
      <c r="C50" s="342"/>
      <c r="D50" s="342"/>
      <c r="E50" s="342"/>
      <c r="F50" s="20"/>
      <c r="G50" s="342" t="str">
        <f t="shared" si="2"/>
        <v/>
      </c>
      <c r="H50" s="342"/>
      <c r="I50" s="342"/>
      <c r="J50" s="342"/>
      <c r="K50" s="21" t="str">
        <f t="shared" si="3"/>
        <v/>
      </c>
      <c r="L50" s="4"/>
    </row>
    <row r="51" spans="1:12" ht="16.5" customHeight="1" x14ac:dyDescent="0.3">
      <c r="A51" s="4"/>
      <c r="B51" s="341"/>
      <c r="C51" s="342"/>
      <c r="D51" s="342"/>
      <c r="E51" s="342"/>
      <c r="F51" s="20"/>
      <c r="G51" s="342" t="str">
        <f t="shared" si="2"/>
        <v/>
      </c>
      <c r="H51" s="342"/>
      <c r="I51" s="342"/>
      <c r="J51" s="342"/>
      <c r="K51" s="21" t="str">
        <f t="shared" si="3"/>
        <v/>
      </c>
      <c r="L51" s="4"/>
    </row>
    <row r="52" spans="1:12" ht="16.5" customHeight="1" x14ac:dyDescent="0.3">
      <c r="A52" s="4"/>
      <c r="B52" s="341"/>
      <c r="C52" s="342"/>
      <c r="D52" s="342"/>
      <c r="E52" s="342"/>
      <c r="F52" s="20"/>
      <c r="G52" s="342" t="str">
        <f t="shared" si="2"/>
        <v/>
      </c>
      <c r="H52" s="342"/>
      <c r="I52" s="342"/>
      <c r="J52" s="342"/>
      <c r="K52" s="21" t="str">
        <f t="shared" si="3"/>
        <v/>
      </c>
      <c r="L52" s="4"/>
    </row>
    <row r="53" spans="1:12" ht="16.5" customHeight="1" thickBot="1" x14ac:dyDescent="0.35">
      <c r="A53" s="4"/>
      <c r="B53" s="343"/>
      <c r="C53" s="344"/>
      <c r="D53" s="344"/>
      <c r="E53" s="344"/>
      <c r="F53" s="22"/>
      <c r="G53" s="344" t="str">
        <f t="shared" si="2"/>
        <v/>
      </c>
      <c r="H53" s="344"/>
      <c r="I53" s="344"/>
      <c r="J53" s="344"/>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328" t="s">
        <v>24</v>
      </c>
      <c r="B55" s="329"/>
      <c r="C55" s="329"/>
      <c r="D55" s="329"/>
      <c r="E55" s="329"/>
      <c r="F55" s="329"/>
      <c r="G55" s="329"/>
      <c r="H55" s="329"/>
      <c r="I55" s="329"/>
      <c r="J55" s="329"/>
      <c r="K55" s="329"/>
      <c r="L55" s="330"/>
    </row>
    <row r="56" spans="1:12" ht="15.75" customHeight="1" x14ac:dyDescent="0.3">
      <c r="A56" s="331"/>
      <c r="B56" s="332"/>
      <c r="C56" s="332"/>
      <c r="D56" s="332"/>
      <c r="E56" s="332"/>
      <c r="F56" s="332"/>
      <c r="G56" s="332"/>
      <c r="H56" s="332"/>
      <c r="I56" s="332"/>
      <c r="J56" s="332"/>
      <c r="K56" s="332"/>
      <c r="L56" s="333"/>
    </row>
    <row r="57" spans="1:12" ht="15.75" customHeight="1" x14ac:dyDescent="0.3">
      <c r="A57" s="334"/>
      <c r="B57" s="335"/>
      <c r="C57" s="335"/>
      <c r="D57" s="335"/>
      <c r="E57" s="335"/>
      <c r="F57" s="335"/>
      <c r="G57" s="335"/>
      <c r="H57" s="335"/>
      <c r="I57" s="335"/>
      <c r="J57" s="335"/>
      <c r="K57" s="335"/>
      <c r="L57" s="336"/>
    </row>
    <row r="58" spans="1:12" ht="15.75" customHeight="1" thickBot="1" x14ac:dyDescent="0.35">
      <c r="A58" s="337"/>
      <c r="B58" s="338"/>
      <c r="C58" s="338"/>
      <c r="D58" s="338"/>
      <c r="E58" s="338"/>
      <c r="F58" s="338"/>
      <c r="G58" s="338"/>
      <c r="H58" s="338"/>
      <c r="I58" s="338"/>
      <c r="J58" s="338"/>
      <c r="K58" s="338"/>
      <c r="L58" s="339"/>
    </row>
    <row r="59" spans="1:12" ht="15.75" customHeight="1" x14ac:dyDescent="0.3">
      <c r="A59" s="2"/>
      <c r="B59" s="2"/>
      <c r="C59" s="2"/>
      <c r="D59" s="2"/>
      <c r="E59" s="2"/>
      <c r="F59" s="2"/>
      <c r="G59" s="2"/>
      <c r="H59" s="2"/>
      <c r="I59" s="2"/>
      <c r="J59" s="2"/>
      <c r="K59" s="2"/>
      <c r="L59" s="2"/>
    </row>
    <row r="60" spans="1:12" ht="21.75" customHeight="1" x14ac:dyDescent="0.3">
      <c r="A60" s="340" t="s">
        <v>46</v>
      </c>
      <c r="B60" s="340"/>
      <c r="C60" s="340"/>
      <c r="D60" s="340"/>
      <c r="E60" s="340"/>
      <c r="F60" s="340"/>
      <c r="G60" s="340"/>
      <c r="H60" s="340"/>
      <c r="I60" s="340"/>
      <c r="J60" s="340"/>
      <c r="K60" s="340"/>
      <c r="L60" s="340"/>
    </row>
    <row r="61" spans="1:12" ht="21.75" customHeight="1" x14ac:dyDescent="0.3">
      <c r="A61" s="340"/>
      <c r="B61" s="340"/>
      <c r="C61" s="340"/>
      <c r="D61" s="340"/>
      <c r="E61" s="340"/>
      <c r="F61" s="340"/>
      <c r="G61" s="340"/>
      <c r="H61" s="340"/>
      <c r="I61" s="340"/>
      <c r="J61" s="340"/>
      <c r="K61" s="340"/>
      <c r="L61" s="340"/>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325" t="s">
        <v>12</v>
      </c>
      <c r="B64" s="325"/>
      <c r="C64" s="326"/>
      <c r="D64" s="326"/>
      <c r="E64" s="326"/>
      <c r="F64" s="6"/>
      <c r="G64" s="325" t="s">
        <v>40</v>
      </c>
      <c r="H64" s="325"/>
      <c r="I64" s="326"/>
      <c r="J64" s="326"/>
      <c r="K64" s="326"/>
      <c r="L64" s="7"/>
    </row>
    <row r="65" spans="1:12" ht="15.75" customHeight="1" x14ac:dyDescent="0.3">
      <c r="A65" s="2"/>
      <c r="B65" s="2"/>
      <c r="C65" s="2"/>
      <c r="D65" s="2"/>
      <c r="E65" s="2"/>
      <c r="F65" s="2"/>
      <c r="G65" s="2"/>
      <c r="H65" s="2"/>
      <c r="I65" s="2"/>
      <c r="J65" s="2"/>
      <c r="K65" s="2"/>
      <c r="L65" s="2"/>
    </row>
    <row r="66" spans="1:12" ht="15.75" customHeight="1" thickBot="1" x14ac:dyDescent="0.35">
      <c r="A66" s="325" t="s">
        <v>49</v>
      </c>
      <c r="B66" s="325"/>
      <c r="C66" s="326"/>
      <c r="D66" s="326"/>
      <c r="E66" s="326"/>
      <c r="F66" s="2"/>
      <c r="G66" s="325" t="s">
        <v>41</v>
      </c>
      <c r="H66" s="325"/>
      <c r="I66" s="326"/>
      <c r="J66" s="326"/>
      <c r="K66" s="326"/>
      <c r="L66" s="2"/>
    </row>
    <row r="67" spans="1:12" ht="15.75" customHeight="1" x14ac:dyDescent="0.3">
      <c r="A67" s="327"/>
      <c r="B67" s="327"/>
      <c r="C67" s="327"/>
      <c r="D67" s="327"/>
      <c r="E67" s="327"/>
      <c r="F67" s="327"/>
      <c r="G67" s="327"/>
      <c r="H67" s="327"/>
      <c r="I67" s="327"/>
      <c r="J67" s="327"/>
      <c r="K67" s="327"/>
      <c r="L67" s="327"/>
    </row>
    <row r="68" spans="1:12" ht="15.75" customHeight="1" x14ac:dyDescent="0.3">
      <c r="A68" s="5"/>
      <c r="B68" s="5"/>
      <c r="C68" s="5"/>
      <c r="D68" s="5"/>
      <c r="E68" s="5"/>
      <c r="F68" s="5"/>
      <c r="G68" s="5"/>
      <c r="H68" s="5"/>
      <c r="I68" s="5"/>
      <c r="J68" s="5"/>
      <c r="K68" s="5"/>
      <c r="L68" s="5"/>
    </row>
  </sheetData>
  <mergeCells count="191">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A66:B66"/>
    <mergeCell ref="C66:E66"/>
    <mergeCell ref="G66:H66"/>
    <mergeCell ref="I66:K66"/>
    <mergeCell ref="A67:L67"/>
    <mergeCell ref="A55:L55"/>
    <mergeCell ref="A56:L58"/>
    <mergeCell ref="A60:L61"/>
    <mergeCell ref="A64:B64"/>
    <mergeCell ref="G64:H64"/>
    <mergeCell ref="I64:K64"/>
    <mergeCell ref="C64:E64"/>
  </mergeCells>
  <conditionalFormatting sqref="K35:K43">
    <cfRule type="containsText" dxfId="43" priority="4" operator="containsText" text="Fail">
      <formula>NOT(ISERROR(SEARCH("Fail",K35)))</formula>
    </cfRule>
    <cfRule type="containsText" dxfId="42" priority="5" operator="containsText" text="Pass">
      <formula>NOT(ISERROR(SEARCH("Pass",K35)))</formula>
    </cfRule>
  </conditionalFormatting>
  <conditionalFormatting sqref="K45:K53">
    <cfRule type="containsText" dxfId="41" priority="2" operator="containsText" text="Fail">
      <formula>NOT(ISERROR(SEARCH("Fail",K45)))</formula>
    </cfRule>
    <cfRule type="containsText" dxfId="40"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289"/>
      <c r="B1" s="289"/>
      <c r="C1" s="289"/>
      <c r="D1" s="289"/>
      <c r="E1" s="371" t="s">
        <v>48</v>
      </c>
      <c r="F1" s="371"/>
      <c r="G1" s="371"/>
      <c r="H1" s="371"/>
      <c r="I1" s="371"/>
      <c r="J1" s="371"/>
      <c r="K1" s="371"/>
      <c r="L1" s="371"/>
      <c r="M1" s="32"/>
    </row>
    <row r="2" spans="1:13" x14ac:dyDescent="0.25">
      <c r="A2" s="289"/>
      <c r="B2" s="289"/>
      <c r="C2" s="289"/>
      <c r="D2" s="289"/>
      <c r="E2" s="371"/>
      <c r="F2" s="371"/>
      <c r="G2" s="371"/>
      <c r="H2" s="371"/>
      <c r="I2" s="371"/>
      <c r="J2" s="371"/>
      <c r="K2" s="371"/>
      <c r="L2" s="371"/>
      <c r="M2" s="32"/>
    </row>
    <row r="3" spans="1:13" x14ac:dyDescent="0.25">
      <c r="A3" s="289"/>
      <c r="B3" s="289"/>
      <c r="C3" s="289"/>
      <c r="D3" s="289"/>
      <c r="E3" s="371"/>
      <c r="F3" s="371"/>
      <c r="G3" s="371"/>
      <c r="H3" s="371"/>
      <c r="I3" s="371"/>
      <c r="J3" s="371"/>
      <c r="K3" s="371"/>
      <c r="L3" s="371"/>
      <c r="M3" s="32"/>
    </row>
    <row r="4" spans="1:13" ht="15" customHeight="1" x14ac:dyDescent="0.25">
      <c r="A4" s="289"/>
      <c r="B4" s="289"/>
      <c r="C4" s="289"/>
      <c r="D4" s="289"/>
      <c r="E4" s="372" t="s">
        <v>51</v>
      </c>
      <c r="F4" s="372"/>
      <c r="G4" s="372"/>
      <c r="H4" s="372"/>
      <c r="I4" s="372"/>
      <c r="J4" s="372"/>
      <c r="K4" s="372"/>
      <c r="L4" s="372"/>
      <c r="M4" s="32"/>
    </row>
    <row r="5" spans="1:13" ht="15" customHeight="1" x14ac:dyDescent="0.25">
      <c r="A5" s="289"/>
      <c r="B5" s="289"/>
      <c r="C5" s="289"/>
      <c r="D5" s="289"/>
      <c r="E5" s="372"/>
      <c r="F5" s="372"/>
      <c r="G5" s="372"/>
      <c r="H5" s="372"/>
      <c r="I5" s="372"/>
      <c r="J5" s="372"/>
      <c r="K5" s="372"/>
      <c r="L5" s="372"/>
      <c r="M5" s="32"/>
    </row>
    <row r="6" spans="1:13" ht="15" customHeight="1" x14ac:dyDescent="0.25">
      <c r="A6" s="32"/>
      <c r="B6" s="32"/>
      <c r="C6" s="32"/>
      <c r="D6" s="32"/>
      <c r="E6" s="372"/>
      <c r="F6" s="372"/>
      <c r="G6" s="372"/>
      <c r="H6" s="372"/>
      <c r="I6" s="372"/>
      <c r="J6" s="372"/>
      <c r="K6" s="372"/>
      <c r="L6" s="372"/>
      <c r="M6" s="32"/>
    </row>
    <row r="7" spans="1:13" ht="24" thickBot="1" x14ac:dyDescent="0.3">
      <c r="A7" s="32"/>
      <c r="B7" s="32"/>
      <c r="C7" s="32"/>
      <c r="D7" s="32"/>
      <c r="E7" s="43"/>
      <c r="F7" s="43"/>
      <c r="G7" s="43"/>
      <c r="H7" s="43"/>
      <c r="I7" s="43"/>
      <c r="J7" s="43"/>
      <c r="K7" s="43"/>
      <c r="L7" s="43"/>
      <c r="M7" s="32"/>
    </row>
    <row r="8" spans="1:13" ht="18.75" thickBot="1" x14ac:dyDescent="0.3">
      <c r="A8" s="328" t="s">
        <v>28</v>
      </c>
      <c r="B8" s="329"/>
      <c r="C8" s="329"/>
      <c r="D8" s="329"/>
      <c r="E8" s="329"/>
      <c r="F8" s="330"/>
      <c r="G8" s="328" t="s">
        <v>29</v>
      </c>
      <c r="H8" s="329"/>
      <c r="I8" s="329"/>
      <c r="J8" s="329"/>
      <c r="K8" s="329"/>
      <c r="L8" s="330"/>
    </row>
    <row r="9" spans="1:13" ht="20.25" x14ac:dyDescent="0.25">
      <c r="A9" s="347" t="s">
        <v>31</v>
      </c>
      <c r="B9" s="275"/>
      <c r="C9" s="348"/>
      <c r="D9" s="348"/>
      <c r="E9" s="348"/>
      <c r="F9" s="349"/>
      <c r="G9" s="347" t="s">
        <v>36</v>
      </c>
      <c r="H9" s="275"/>
      <c r="I9" s="362"/>
      <c r="J9" s="362"/>
      <c r="K9" s="362"/>
      <c r="L9" s="363"/>
    </row>
    <row r="10" spans="1:13" ht="18" x14ac:dyDescent="0.25">
      <c r="A10" s="351" t="s">
        <v>32</v>
      </c>
      <c r="B10" s="352"/>
      <c r="C10" s="342"/>
      <c r="D10" s="342"/>
      <c r="E10" s="342"/>
      <c r="F10" s="353"/>
      <c r="G10" s="351" t="s">
        <v>37</v>
      </c>
      <c r="H10" s="352"/>
      <c r="I10" s="342"/>
      <c r="J10" s="342"/>
      <c r="K10" s="342"/>
      <c r="L10" s="353"/>
    </row>
    <row r="11" spans="1:13" ht="18" x14ac:dyDescent="0.25">
      <c r="A11" s="351"/>
      <c r="B11" s="352"/>
      <c r="C11" s="342"/>
      <c r="D11" s="342"/>
      <c r="E11" s="342"/>
      <c r="F11" s="353"/>
      <c r="G11" s="351" t="s">
        <v>38</v>
      </c>
      <c r="H11" s="352"/>
      <c r="I11" s="342"/>
      <c r="J11" s="342"/>
      <c r="K11" s="342"/>
      <c r="L11" s="353"/>
    </row>
    <row r="12" spans="1:13" ht="18" x14ac:dyDescent="0.25">
      <c r="A12" s="351"/>
      <c r="B12" s="352"/>
      <c r="C12" s="342"/>
      <c r="D12" s="342"/>
      <c r="E12" s="342"/>
      <c r="F12" s="353"/>
      <c r="G12" s="351" t="s">
        <v>39</v>
      </c>
      <c r="H12" s="352"/>
      <c r="I12" s="360" t="s">
        <v>50</v>
      </c>
      <c r="J12" s="360"/>
      <c r="K12" s="360"/>
      <c r="L12" s="361"/>
    </row>
    <row r="13" spans="1:13" ht="18" x14ac:dyDescent="0.25">
      <c r="A13" s="351"/>
      <c r="B13" s="352"/>
      <c r="C13" s="342"/>
      <c r="D13" s="342"/>
      <c r="E13" s="342"/>
      <c r="F13" s="353"/>
      <c r="G13" s="351" t="s">
        <v>34</v>
      </c>
      <c r="H13" s="352"/>
      <c r="I13" s="354"/>
      <c r="J13" s="354"/>
      <c r="K13" s="354"/>
      <c r="L13" s="355"/>
    </row>
    <row r="14" spans="1:13" ht="18.75" thickBot="1" x14ac:dyDescent="0.3">
      <c r="A14" s="356" t="s">
        <v>33</v>
      </c>
      <c r="B14" s="357"/>
      <c r="C14" s="344"/>
      <c r="D14" s="344"/>
      <c r="E14" s="344"/>
      <c r="F14" s="350"/>
      <c r="G14" s="356" t="s">
        <v>35</v>
      </c>
      <c r="H14" s="357"/>
      <c r="I14" s="358"/>
      <c r="J14" s="358"/>
      <c r="K14" s="358"/>
      <c r="L14" s="359"/>
    </row>
    <row r="15" spans="1:13" ht="18" x14ac:dyDescent="0.25">
      <c r="A15" s="30"/>
      <c r="B15" s="30"/>
      <c r="C15" s="30"/>
      <c r="D15" s="30"/>
      <c r="E15" s="30"/>
      <c r="F15" s="30"/>
      <c r="G15" s="30"/>
      <c r="H15" s="30"/>
      <c r="I15" s="30"/>
      <c r="J15" s="30"/>
      <c r="K15" s="30"/>
      <c r="L15" s="30"/>
    </row>
    <row r="16" spans="1:13" ht="22.5" customHeight="1" x14ac:dyDescent="0.25">
      <c r="A16" s="375" t="s">
        <v>52</v>
      </c>
      <c r="B16" s="375"/>
      <c r="C16" s="375"/>
      <c r="D16" s="375"/>
      <c r="E16" s="375"/>
      <c r="F16" s="375"/>
      <c r="G16" s="375"/>
      <c r="H16" s="375"/>
      <c r="I16" s="375"/>
      <c r="J16" s="375"/>
      <c r="K16" s="375"/>
      <c r="L16" s="375"/>
    </row>
    <row r="17" spans="1:12" ht="22.5" customHeight="1" x14ac:dyDescent="0.25">
      <c r="A17" s="375"/>
      <c r="B17" s="375"/>
      <c r="C17" s="375"/>
      <c r="D17" s="375"/>
      <c r="E17" s="375"/>
      <c r="F17" s="375"/>
      <c r="G17" s="375"/>
      <c r="H17" s="375"/>
      <c r="I17" s="375"/>
      <c r="J17" s="375"/>
      <c r="K17" s="375"/>
      <c r="L17" s="375"/>
    </row>
    <row r="18" spans="1:12" ht="18.75" thickBot="1" x14ac:dyDescent="0.3">
      <c r="A18" s="30"/>
      <c r="B18" s="30"/>
      <c r="C18" s="30"/>
      <c r="D18" s="30"/>
      <c r="E18" s="30"/>
      <c r="F18" s="30"/>
      <c r="G18" s="30"/>
      <c r="H18" s="30"/>
      <c r="I18" s="30"/>
      <c r="J18" s="30"/>
      <c r="K18" s="30"/>
      <c r="L18" s="30"/>
    </row>
    <row r="19" spans="1:12" ht="18.75" thickBot="1" x14ac:dyDescent="0.3">
      <c r="A19" s="328" t="s">
        <v>20</v>
      </c>
      <c r="B19" s="329"/>
      <c r="C19" s="329"/>
      <c r="D19" s="329"/>
      <c r="E19" s="329"/>
      <c r="F19" s="329"/>
      <c r="G19" s="329"/>
      <c r="H19" s="329"/>
      <c r="I19" s="329"/>
      <c r="J19" s="329"/>
      <c r="K19" s="329"/>
      <c r="L19" s="330"/>
    </row>
    <row r="20" spans="1:12" ht="18" x14ac:dyDescent="0.25">
      <c r="A20" s="347" t="s">
        <v>23</v>
      </c>
      <c r="B20" s="275"/>
      <c r="C20" s="275"/>
      <c r="D20" s="275"/>
      <c r="E20" s="275" t="s">
        <v>22</v>
      </c>
      <c r="F20" s="275"/>
      <c r="G20" s="275" t="s">
        <v>21</v>
      </c>
      <c r="H20" s="275"/>
      <c r="I20" s="275" t="s">
        <v>53</v>
      </c>
      <c r="J20" s="275"/>
      <c r="K20" s="275" t="s">
        <v>54</v>
      </c>
      <c r="L20" s="276"/>
    </row>
    <row r="21" spans="1:12" ht="18" x14ac:dyDescent="0.25">
      <c r="A21" s="341"/>
      <c r="B21" s="342"/>
      <c r="C21" s="342"/>
      <c r="D21" s="342"/>
      <c r="E21" s="342"/>
      <c r="F21" s="342"/>
      <c r="G21" s="342"/>
      <c r="H21" s="342"/>
      <c r="I21" s="342"/>
      <c r="J21" s="342"/>
      <c r="K21" s="342"/>
      <c r="L21" s="353"/>
    </row>
    <row r="22" spans="1:12" ht="18" x14ac:dyDescent="0.25">
      <c r="A22" s="341"/>
      <c r="B22" s="342"/>
      <c r="C22" s="342"/>
      <c r="D22" s="342"/>
      <c r="E22" s="342"/>
      <c r="F22" s="342"/>
      <c r="G22" s="342"/>
      <c r="H22" s="342"/>
      <c r="I22" s="342"/>
      <c r="J22" s="342"/>
      <c r="K22" s="342"/>
      <c r="L22" s="353"/>
    </row>
    <row r="23" spans="1:12" ht="18" x14ac:dyDescent="0.25">
      <c r="A23" s="341"/>
      <c r="B23" s="342"/>
      <c r="C23" s="342"/>
      <c r="D23" s="342"/>
      <c r="E23" s="342"/>
      <c r="F23" s="342"/>
      <c r="G23" s="342"/>
      <c r="H23" s="342"/>
      <c r="I23" s="342"/>
      <c r="J23" s="342"/>
      <c r="K23" s="342"/>
      <c r="L23" s="353"/>
    </row>
    <row r="24" spans="1:12" ht="18" x14ac:dyDescent="0.25">
      <c r="A24" s="341"/>
      <c r="B24" s="342"/>
      <c r="C24" s="342"/>
      <c r="D24" s="342"/>
      <c r="E24" s="342"/>
      <c r="F24" s="342"/>
      <c r="G24" s="342"/>
      <c r="H24" s="342"/>
      <c r="I24" s="342"/>
      <c r="J24" s="342"/>
      <c r="K24" s="342"/>
      <c r="L24" s="353"/>
    </row>
    <row r="25" spans="1:12" ht="18.75" thickBot="1" x14ac:dyDescent="0.3">
      <c r="A25" s="343"/>
      <c r="B25" s="344"/>
      <c r="C25" s="344"/>
      <c r="D25" s="344"/>
      <c r="E25" s="344"/>
      <c r="F25" s="344"/>
      <c r="G25" s="344"/>
      <c r="H25" s="344"/>
      <c r="I25" s="344"/>
      <c r="J25" s="344"/>
      <c r="K25" s="344"/>
      <c r="L25" s="350"/>
    </row>
    <row r="26" spans="1:12" ht="18.75" thickBot="1" x14ac:dyDescent="0.3">
      <c r="A26" s="32"/>
      <c r="B26" s="30"/>
      <c r="C26" s="30"/>
      <c r="D26" s="30"/>
      <c r="E26" s="30"/>
      <c r="F26" s="30"/>
      <c r="G26" s="30"/>
      <c r="H26" s="30"/>
      <c r="I26" s="30"/>
      <c r="J26" s="30"/>
      <c r="K26" s="30"/>
      <c r="L26" s="30"/>
    </row>
    <row r="27" spans="1:12" ht="18.75" thickBot="1" x14ac:dyDescent="0.3">
      <c r="A27" s="328" t="s">
        <v>13</v>
      </c>
      <c r="B27" s="329"/>
      <c r="C27" s="329"/>
      <c r="D27" s="329"/>
      <c r="E27" s="329"/>
      <c r="F27" s="329"/>
      <c r="G27" s="329"/>
      <c r="H27" s="329"/>
      <c r="I27" s="329"/>
      <c r="J27" s="329"/>
      <c r="K27" s="329"/>
      <c r="L27" s="330"/>
    </row>
    <row r="28" spans="1:12" ht="18" x14ac:dyDescent="0.25">
      <c r="A28" s="347" t="s">
        <v>30</v>
      </c>
      <c r="B28" s="275"/>
      <c r="C28" s="348"/>
      <c r="D28" s="348"/>
      <c r="E28" s="348"/>
      <c r="F28" s="348"/>
      <c r="G28" s="348"/>
      <c r="H28" s="348"/>
      <c r="I28" s="275" t="s">
        <v>25</v>
      </c>
      <c r="J28" s="275"/>
      <c r="K28" s="348"/>
      <c r="L28" s="349"/>
    </row>
    <row r="29" spans="1:12" ht="18" x14ac:dyDescent="0.25">
      <c r="A29" s="351" t="s">
        <v>15</v>
      </c>
      <c r="B29" s="352"/>
      <c r="C29" s="342"/>
      <c r="D29" s="342"/>
      <c r="E29" s="352" t="s">
        <v>16</v>
      </c>
      <c r="F29" s="352"/>
      <c r="G29" s="342"/>
      <c r="H29" s="342"/>
      <c r="I29" s="352" t="s">
        <v>18</v>
      </c>
      <c r="J29" s="352"/>
      <c r="K29" s="342"/>
      <c r="L29" s="353"/>
    </row>
    <row r="30" spans="1:12" ht="18" x14ac:dyDescent="0.25">
      <c r="A30" s="351" t="s">
        <v>14</v>
      </c>
      <c r="B30" s="352"/>
      <c r="C30" s="342"/>
      <c r="D30" s="342"/>
      <c r="E30" s="352" t="s">
        <v>42</v>
      </c>
      <c r="F30" s="352"/>
      <c r="G30" s="342"/>
      <c r="H30" s="342"/>
      <c r="I30" s="352" t="s">
        <v>43</v>
      </c>
      <c r="J30" s="352"/>
      <c r="K30" s="342"/>
      <c r="L30" s="353"/>
    </row>
    <row r="31" spans="1:12" ht="18" x14ac:dyDescent="0.25">
      <c r="A31" s="351" t="s">
        <v>17</v>
      </c>
      <c r="B31" s="352"/>
      <c r="C31" s="342"/>
      <c r="D31" s="342"/>
      <c r="E31" s="352" t="s">
        <v>26</v>
      </c>
      <c r="F31" s="352"/>
      <c r="G31" s="342"/>
      <c r="H31" s="342"/>
      <c r="I31" s="352" t="s">
        <v>27</v>
      </c>
      <c r="J31" s="352"/>
      <c r="K31" s="342"/>
      <c r="L31" s="353"/>
    </row>
    <row r="32" spans="1:12" ht="37.5" customHeight="1" x14ac:dyDescent="0.25">
      <c r="A32" s="351" t="s">
        <v>19</v>
      </c>
      <c r="B32" s="352"/>
      <c r="C32" s="342"/>
      <c r="D32" s="342"/>
      <c r="E32" s="342"/>
      <c r="F32" s="342"/>
      <c r="G32" s="342"/>
      <c r="H32" s="342"/>
      <c r="I32" s="342"/>
      <c r="J32" s="342"/>
      <c r="K32" s="342"/>
      <c r="L32" s="353"/>
    </row>
    <row r="33" spans="1:12" ht="18" x14ac:dyDescent="0.25">
      <c r="A33" s="367"/>
      <c r="B33" s="368"/>
      <c r="C33" s="368"/>
      <c r="D33" s="369"/>
      <c r="E33" s="352" t="s">
        <v>42</v>
      </c>
      <c r="F33" s="352"/>
      <c r="G33" s="342"/>
      <c r="H33" s="342"/>
      <c r="I33" s="352" t="s">
        <v>43</v>
      </c>
      <c r="J33" s="352"/>
      <c r="K33" s="342"/>
      <c r="L33" s="353"/>
    </row>
    <row r="34" spans="1:12" ht="18" x14ac:dyDescent="0.25">
      <c r="A34" s="351" t="s">
        <v>17</v>
      </c>
      <c r="B34" s="352"/>
      <c r="C34" s="342"/>
      <c r="D34" s="342"/>
      <c r="E34" s="352" t="s">
        <v>26</v>
      </c>
      <c r="F34" s="352"/>
      <c r="G34" s="342"/>
      <c r="H34" s="342"/>
      <c r="I34" s="352" t="s">
        <v>27</v>
      </c>
      <c r="J34" s="352"/>
      <c r="K34" s="342"/>
      <c r="L34" s="353"/>
    </row>
    <row r="35" spans="1:12" ht="38.25" customHeight="1" thickBot="1" x14ac:dyDescent="0.3">
      <c r="A35" s="356" t="s">
        <v>19</v>
      </c>
      <c r="B35" s="357"/>
      <c r="C35" s="344"/>
      <c r="D35" s="344"/>
      <c r="E35" s="344"/>
      <c r="F35" s="344"/>
      <c r="G35" s="344"/>
      <c r="H35" s="344"/>
      <c r="I35" s="344"/>
      <c r="J35" s="344"/>
      <c r="K35" s="344"/>
      <c r="L35" s="350"/>
    </row>
    <row r="36" spans="1:12" ht="18.75" thickBot="1" x14ac:dyDescent="0.3">
      <c r="A36" s="31"/>
      <c r="B36" s="31"/>
      <c r="C36" s="31"/>
      <c r="D36" s="31"/>
      <c r="E36" s="31"/>
      <c r="F36" s="31"/>
      <c r="G36" s="31"/>
      <c r="H36" s="31"/>
      <c r="I36" s="31"/>
      <c r="J36" s="31"/>
      <c r="K36" s="31"/>
      <c r="L36" s="31"/>
    </row>
    <row r="37" spans="1:12" ht="18.75" thickBot="1" x14ac:dyDescent="0.3">
      <c r="A37" s="328" t="s">
        <v>7</v>
      </c>
      <c r="B37" s="329"/>
      <c r="C37" s="329"/>
      <c r="D37" s="329"/>
      <c r="E37" s="329"/>
      <c r="F37" s="329"/>
      <c r="G37" s="329"/>
      <c r="H37" s="329"/>
      <c r="I37" s="329"/>
      <c r="J37" s="329"/>
      <c r="K37" s="329"/>
      <c r="L37" s="330"/>
    </row>
    <row r="38" spans="1:12" ht="18.75" thickBot="1" x14ac:dyDescent="0.3">
      <c r="A38" s="365" t="s">
        <v>8</v>
      </c>
      <c r="B38" s="366"/>
      <c r="C38" s="16"/>
      <c r="D38" s="366" t="s">
        <v>9</v>
      </c>
      <c r="E38" s="366"/>
      <c r="F38" s="16"/>
      <c r="G38" s="366" t="s">
        <v>10</v>
      </c>
      <c r="H38" s="366"/>
      <c r="I38" s="16"/>
      <c r="J38" s="366" t="s">
        <v>11</v>
      </c>
      <c r="K38" s="366"/>
      <c r="L38" s="17"/>
    </row>
    <row r="39" spans="1:12" ht="18.75" thickBot="1" x14ac:dyDescent="0.3">
      <c r="A39" s="30"/>
      <c r="B39" s="30"/>
      <c r="C39" s="30"/>
      <c r="D39" s="30"/>
      <c r="E39" s="30"/>
      <c r="F39" s="30"/>
      <c r="G39" s="30"/>
      <c r="H39" s="30"/>
      <c r="I39" s="30"/>
      <c r="J39" s="30"/>
      <c r="K39" s="30"/>
      <c r="L39" s="30"/>
    </row>
    <row r="40" spans="1:12" ht="19.5" thickBot="1" x14ac:dyDescent="0.35">
      <c r="A40" s="33"/>
      <c r="B40" s="328" t="s">
        <v>6</v>
      </c>
      <c r="C40" s="329"/>
      <c r="D40" s="329"/>
      <c r="E40" s="329"/>
      <c r="F40" s="329"/>
      <c r="G40" s="329"/>
      <c r="H40" s="329"/>
      <c r="I40" s="329"/>
      <c r="J40" s="329"/>
      <c r="K40" s="330"/>
      <c r="L40" s="33"/>
    </row>
    <row r="41" spans="1:12" ht="40.5" customHeight="1" x14ac:dyDescent="0.3">
      <c r="A41" s="33"/>
      <c r="B41" s="345" t="s">
        <v>0</v>
      </c>
      <c r="C41" s="346"/>
      <c r="D41" s="346" t="s">
        <v>2</v>
      </c>
      <c r="E41" s="346"/>
      <c r="F41" s="18" t="s">
        <v>1</v>
      </c>
      <c r="G41" s="346" t="s">
        <v>3</v>
      </c>
      <c r="H41" s="346"/>
      <c r="I41" s="346" t="s">
        <v>5</v>
      </c>
      <c r="J41" s="346"/>
      <c r="K41" s="19" t="s">
        <v>4</v>
      </c>
      <c r="L41" s="33"/>
    </row>
    <row r="42" spans="1:12" ht="18.75" x14ac:dyDescent="0.3">
      <c r="A42" s="33"/>
      <c r="B42" s="341"/>
      <c r="C42" s="342"/>
      <c r="D42" s="342"/>
      <c r="E42" s="342"/>
      <c r="F42" s="20"/>
      <c r="G42" s="342" t="str">
        <f>IF(B42="","",B42-D42)</f>
        <v/>
      </c>
      <c r="H42" s="342"/>
      <c r="I42" s="342"/>
      <c r="J42" s="342"/>
      <c r="K42" s="21" t="str">
        <f>IF(G42="","",IF(AND(G42&gt;=-I42,G42&lt;=I42),"Pass","Fail"))</f>
        <v/>
      </c>
      <c r="L42" s="33"/>
    </row>
    <row r="43" spans="1:12" ht="18.75" x14ac:dyDescent="0.3">
      <c r="A43" s="33"/>
      <c r="B43" s="341"/>
      <c r="C43" s="342"/>
      <c r="D43" s="342"/>
      <c r="E43" s="342"/>
      <c r="F43" s="20"/>
      <c r="G43" s="342" t="str">
        <f t="shared" ref="G43:G50" si="0">IF(B43="","",B43-D43)</f>
        <v/>
      </c>
      <c r="H43" s="342"/>
      <c r="I43" s="342"/>
      <c r="J43" s="342"/>
      <c r="K43" s="21" t="str">
        <f t="shared" ref="K43:K50" si="1">IF(G43="","",IF(AND(G43&gt;=-I43,G43&lt;=I43),"Pass","Fail"))</f>
        <v/>
      </c>
      <c r="L43" s="33"/>
    </row>
    <row r="44" spans="1:12" ht="18.75" x14ac:dyDescent="0.3">
      <c r="A44" s="33"/>
      <c r="B44" s="341"/>
      <c r="C44" s="342"/>
      <c r="D44" s="342"/>
      <c r="E44" s="342"/>
      <c r="F44" s="20"/>
      <c r="G44" s="342" t="str">
        <f t="shared" si="0"/>
        <v/>
      </c>
      <c r="H44" s="342"/>
      <c r="I44" s="342"/>
      <c r="J44" s="342"/>
      <c r="K44" s="21" t="str">
        <f t="shared" si="1"/>
        <v/>
      </c>
      <c r="L44" s="33"/>
    </row>
    <row r="45" spans="1:12" ht="18.75" x14ac:dyDescent="0.3">
      <c r="A45" s="33"/>
      <c r="B45" s="341"/>
      <c r="C45" s="342"/>
      <c r="D45" s="342"/>
      <c r="E45" s="342"/>
      <c r="F45" s="20"/>
      <c r="G45" s="342" t="str">
        <f t="shared" si="0"/>
        <v/>
      </c>
      <c r="H45" s="342"/>
      <c r="I45" s="342"/>
      <c r="J45" s="342"/>
      <c r="K45" s="21" t="str">
        <f t="shared" si="1"/>
        <v/>
      </c>
      <c r="L45" s="33"/>
    </row>
    <row r="46" spans="1:12" ht="18.75" x14ac:dyDescent="0.3">
      <c r="A46" s="33"/>
      <c r="B46" s="341"/>
      <c r="C46" s="342"/>
      <c r="D46" s="342"/>
      <c r="E46" s="342"/>
      <c r="F46" s="20"/>
      <c r="G46" s="342" t="str">
        <f t="shared" si="0"/>
        <v/>
      </c>
      <c r="H46" s="342"/>
      <c r="I46" s="342"/>
      <c r="J46" s="342"/>
      <c r="K46" s="21" t="str">
        <f t="shared" si="1"/>
        <v/>
      </c>
      <c r="L46" s="33"/>
    </row>
    <row r="47" spans="1:12" ht="18.75" x14ac:dyDescent="0.3">
      <c r="A47" s="33"/>
      <c r="B47" s="341"/>
      <c r="C47" s="342"/>
      <c r="D47" s="342"/>
      <c r="E47" s="342"/>
      <c r="F47" s="20"/>
      <c r="G47" s="342" t="str">
        <f t="shared" si="0"/>
        <v/>
      </c>
      <c r="H47" s="342"/>
      <c r="I47" s="342"/>
      <c r="J47" s="342"/>
      <c r="K47" s="21" t="str">
        <f t="shared" si="1"/>
        <v/>
      </c>
      <c r="L47" s="33"/>
    </row>
    <row r="48" spans="1:12" ht="18.75" x14ac:dyDescent="0.3">
      <c r="A48" s="33"/>
      <c r="B48" s="341"/>
      <c r="C48" s="342"/>
      <c r="D48" s="342"/>
      <c r="E48" s="342"/>
      <c r="F48" s="20"/>
      <c r="G48" s="342" t="str">
        <f t="shared" si="0"/>
        <v/>
      </c>
      <c r="H48" s="342"/>
      <c r="I48" s="342"/>
      <c r="J48" s="342"/>
      <c r="K48" s="21" t="str">
        <f t="shared" si="1"/>
        <v/>
      </c>
      <c r="L48" s="33"/>
    </row>
    <row r="49" spans="1:12" ht="18.75" x14ac:dyDescent="0.3">
      <c r="A49" s="33"/>
      <c r="B49" s="341"/>
      <c r="C49" s="342"/>
      <c r="D49" s="342"/>
      <c r="E49" s="342"/>
      <c r="F49" s="20"/>
      <c r="G49" s="342" t="str">
        <f t="shared" si="0"/>
        <v/>
      </c>
      <c r="H49" s="342"/>
      <c r="I49" s="342"/>
      <c r="J49" s="342"/>
      <c r="K49" s="21" t="str">
        <f t="shared" si="1"/>
        <v/>
      </c>
      <c r="L49" s="33"/>
    </row>
    <row r="50" spans="1:12" ht="19.5" thickBot="1" x14ac:dyDescent="0.35">
      <c r="A50" s="33"/>
      <c r="B50" s="343"/>
      <c r="C50" s="344"/>
      <c r="D50" s="344"/>
      <c r="E50" s="344"/>
      <c r="F50" s="22"/>
      <c r="G50" s="342" t="str">
        <f t="shared" si="0"/>
        <v/>
      </c>
      <c r="H50" s="342"/>
      <c r="I50" s="344"/>
      <c r="J50" s="344"/>
      <c r="K50" s="21" t="str">
        <f t="shared" si="1"/>
        <v/>
      </c>
      <c r="L50" s="33"/>
    </row>
    <row r="51" spans="1:12" ht="41.25" customHeight="1" x14ac:dyDescent="0.3">
      <c r="A51" s="33"/>
      <c r="B51" s="345" t="s">
        <v>0</v>
      </c>
      <c r="C51" s="346"/>
      <c r="D51" s="346" t="s">
        <v>2</v>
      </c>
      <c r="E51" s="346"/>
      <c r="F51" s="18" t="s">
        <v>1</v>
      </c>
      <c r="G51" s="346" t="s">
        <v>3</v>
      </c>
      <c r="H51" s="346"/>
      <c r="I51" s="346" t="s">
        <v>5</v>
      </c>
      <c r="J51" s="346"/>
      <c r="K51" s="19" t="s">
        <v>4</v>
      </c>
      <c r="L51" s="33"/>
    </row>
    <row r="52" spans="1:12" ht="18.75" x14ac:dyDescent="0.3">
      <c r="A52" s="33"/>
      <c r="B52" s="341"/>
      <c r="C52" s="342"/>
      <c r="D52" s="342"/>
      <c r="E52" s="342"/>
      <c r="F52" s="20"/>
      <c r="G52" s="342" t="str">
        <f>IF(B52="","",B52-D52)</f>
        <v/>
      </c>
      <c r="H52" s="342"/>
      <c r="I52" s="342"/>
      <c r="J52" s="342"/>
      <c r="K52" s="21" t="str">
        <f>IF(G52="","",IF(AND(G52&gt;=-I52,G52&lt;=I52),"Pass","Fail"))</f>
        <v/>
      </c>
      <c r="L52" s="33"/>
    </row>
    <row r="53" spans="1:12" ht="18.75" x14ac:dyDescent="0.3">
      <c r="A53" s="33"/>
      <c r="B53" s="341"/>
      <c r="C53" s="342"/>
      <c r="D53" s="342"/>
      <c r="E53" s="342"/>
      <c r="F53" s="20"/>
      <c r="G53" s="342" t="str">
        <f t="shared" ref="G53:G60" si="2">IF(B53="","",B53-D53)</f>
        <v/>
      </c>
      <c r="H53" s="342"/>
      <c r="I53" s="342"/>
      <c r="J53" s="342"/>
      <c r="K53" s="21" t="str">
        <f t="shared" ref="K53:K60" si="3">IF(G53="","",IF(AND(G53&gt;=-I53,G53&lt;=I53),"Pass","Fail"))</f>
        <v/>
      </c>
      <c r="L53" s="33"/>
    </row>
    <row r="54" spans="1:12" ht="18.75" x14ac:dyDescent="0.3">
      <c r="A54" s="33"/>
      <c r="B54" s="341"/>
      <c r="C54" s="342"/>
      <c r="D54" s="342"/>
      <c r="E54" s="342"/>
      <c r="F54" s="20"/>
      <c r="G54" s="342" t="str">
        <f t="shared" si="2"/>
        <v/>
      </c>
      <c r="H54" s="342"/>
      <c r="I54" s="342"/>
      <c r="J54" s="342"/>
      <c r="K54" s="21" t="str">
        <f t="shared" si="3"/>
        <v/>
      </c>
      <c r="L54" s="33"/>
    </row>
    <row r="55" spans="1:12" ht="18.75" x14ac:dyDescent="0.3">
      <c r="A55" s="33"/>
      <c r="B55" s="341"/>
      <c r="C55" s="342"/>
      <c r="D55" s="342"/>
      <c r="E55" s="342"/>
      <c r="F55" s="20"/>
      <c r="G55" s="342" t="str">
        <f t="shared" si="2"/>
        <v/>
      </c>
      <c r="H55" s="342"/>
      <c r="I55" s="342"/>
      <c r="J55" s="342"/>
      <c r="K55" s="21" t="str">
        <f t="shared" si="3"/>
        <v/>
      </c>
      <c r="L55" s="33"/>
    </row>
    <row r="56" spans="1:12" ht="18.75" x14ac:dyDescent="0.3">
      <c r="A56" s="33"/>
      <c r="B56" s="341"/>
      <c r="C56" s="342"/>
      <c r="D56" s="342"/>
      <c r="E56" s="342"/>
      <c r="F56" s="20"/>
      <c r="G56" s="342" t="str">
        <f t="shared" si="2"/>
        <v/>
      </c>
      <c r="H56" s="342"/>
      <c r="I56" s="342"/>
      <c r="J56" s="342"/>
      <c r="K56" s="21" t="str">
        <f t="shared" si="3"/>
        <v/>
      </c>
      <c r="L56" s="33"/>
    </row>
    <row r="57" spans="1:12" ht="18.75" x14ac:dyDescent="0.3">
      <c r="A57" s="33"/>
      <c r="B57" s="341"/>
      <c r="C57" s="342"/>
      <c r="D57" s="342"/>
      <c r="E57" s="342"/>
      <c r="F57" s="20"/>
      <c r="G57" s="342" t="str">
        <f t="shared" si="2"/>
        <v/>
      </c>
      <c r="H57" s="342"/>
      <c r="I57" s="342"/>
      <c r="J57" s="342"/>
      <c r="K57" s="21" t="str">
        <f t="shared" si="3"/>
        <v/>
      </c>
      <c r="L57" s="33"/>
    </row>
    <row r="58" spans="1:12" ht="18.75" x14ac:dyDescent="0.3">
      <c r="A58" s="33"/>
      <c r="B58" s="341"/>
      <c r="C58" s="342"/>
      <c r="D58" s="342"/>
      <c r="E58" s="342"/>
      <c r="F58" s="20"/>
      <c r="G58" s="342" t="str">
        <f t="shared" si="2"/>
        <v/>
      </c>
      <c r="H58" s="342"/>
      <c r="I58" s="342"/>
      <c r="J58" s="342"/>
      <c r="K58" s="21" t="str">
        <f t="shared" si="3"/>
        <v/>
      </c>
      <c r="L58" s="33"/>
    </row>
    <row r="59" spans="1:12" ht="18.75" x14ac:dyDescent="0.3">
      <c r="A59" s="33"/>
      <c r="B59" s="341"/>
      <c r="C59" s="342"/>
      <c r="D59" s="342"/>
      <c r="E59" s="342"/>
      <c r="F59" s="20"/>
      <c r="G59" s="342" t="str">
        <f t="shared" si="2"/>
        <v/>
      </c>
      <c r="H59" s="342"/>
      <c r="I59" s="342"/>
      <c r="J59" s="342"/>
      <c r="K59" s="21" t="str">
        <f t="shared" si="3"/>
        <v/>
      </c>
      <c r="L59" s="33"/>
    </row>
    <row r="60" spans="1:12" ht="19.5" thickBot="1" x14ac:dyDescent="0.35">
      <c r="A60" s="33"/>
      <c r="B60" s="343"/>
      <c r="C60" s="344"/>
      <c r="D60" s="344"/>
      <c r="E60" s="344"/>
      <c r="F60" s="22"/>
      <c r="G60" s="344" t="str">
        <f t="shared" si="2"/>
        <v/>
      </c>
      <c r="H60" s="344"/>
      <c r="I60" s="344"/>
      <c r="J60" s="344"/>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328" t="s">
        <v>24</v>
      </c>
      <c r="B62" s="329"/>
      <c r="C62" s="329"/>
      <c r="D62" s="329"/>
      <c r="E62" s="329"/>
      <c r="F62" s="329"/>
      <c r="G62" s="329"/>
      <c r="H62" s="329"/>
      <c r="I62" s="329"/>
      <c r="J62" s="329"/>
      <c r="K62" s="329"/>
      <c r="L62" s="330"/>
    </row>
    <row r="63" spans="1:12" x14ac:dyDescent="0.25">
      <c r="A63" s="331"/>
      <c r="B63" s="332"/>
      <c r="C63" s="332"/>
      <c r="D63" s="332"/>
      <c r="E63" s="332"/>
      <c r="F63" s="332"/>
      <c r="G63" s="332"/>
      <c r="H63" s="332"/>
      <c r="I63" s="332"/>
      <c r="J63" s="332"/>
      <c r="K63" s="332"/>
      <c r="L63" s="333"/>
    </row>
    <row r="64" spans="1:12" x14ac:dyDescent="0.25">
      <c r="A64" s="334"/>
      <c r="B64" s="335"/>
      <c r="C64" s="335"/>
      <c r="D64" s="335"/>
      <c r="E64" s="335"/>
      <c r="F64" s="335"/>
      <c r="G64" s="335"/>
      <c r="H64" s="335"/>
      <c r="I64" s="335"/>
      <c r="J64" s="335"/>
      <c r="K64" s="335"/>
      <c r="L64" s="336"/>
    </row>
    <row r="65" spans="1:12" ht="15.75" thickBot="1" x14ac:dyDescent="0.3">
      <c r="A65" s="337"/>
      <c r="B65" s="338"/>
      <c r="C65" s="338"/>
      <c r="D65" s="338"/>
      <c r="E65" s="338"/>
      <c r="F65" s="338"/>
      <c r="G65" s="338"/>
      <c r="H65" s="338"/>
      <c r="I65" s="338"/>
      <c r="J65" s="338"/>
      <c r="K65" s="338"/>
      <c r="L65" s="339"/>
    </row>
    <row r="66" spans="1:12" ht="18" x14ac:dyDescent="0.25">
      <c r="A66" s="30"/>
      <c r="B66" s="30"/>
      <c r="C66" s="30"/>
      <c r="D66" s="30"/>
      <c r="E66" s="30"/>
      <c r="F66" s="30"/>
      <c r="G66" s="30"/>
      <c r="H66" s="30"/>
      <c r="I66" s="30"/>
      <c r="J66" s="30"/>
      <c r="K66" s="30"/>
      <c r="L66" s="30"/>
    </row>
    <row r="67" spans="1:12" ht="21.75" customHeight="1" x14ac:dyDescent="0.25">
      <c r="A67" s="375" t="s">
        <v>46</v>
      </c>
      <c r="B67" s="375"/>
      <c r="C67" s="375"/>
      <c r="D67" s="375"/>
      <c r="E67" s="375"/>
      <c r="F67" s="375"/>
      <c r="G67" s="375"/>
      <c r="H67" s="375"/>
      <c r="I67" s="375"/>
      <c r="J67" s="375"/>
      <c r="K67" s="375"/>
      <c r="L67" s="375"/>
    </row>
    <row r="68" spans="1:12" ht="21.75" customHeight="1" x14ac:dyDescent="0.25">
      <c r="A68" s="375"/>
      <c r="B68" s="375"/>
      <c r="C68" s="375"/>
      <c r="D68" s="375"/>
      <c r="E68" s="375"/>
      <c r="F68" s="375"/>
      <c r="G68" s="375"/>
      <c r="H68" s="375"/>
      <c r="I68" s="375"/>
      <c r="J68" s="375"/>
      <c r="K68" s="375"/>
      <c r="L68" s="375"/>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373" t="s">
        <v>12</v>
      </c>
      <c r="B71" s="373"/>
      <c r="C71" s="370"/>
      <c r="D71" s="370"/>
      <c r="E71" s="370"/>
      <c r="F71" s="36"/>
      <c r="G71" s="373" t="s">
        <v>40</v>
      </c>
      <c r="H71" s="373"/>
      <c r="I71" s="370"/>
      <c r="J71" s="370"/>
      <c r="K71" s="370"/>
      <c r="L71" s="30"/>
    </row>
    <row r="72" spans="1:12" ht="18" x14ac:dyDescent="0.25">
      <c r="A72" s="30"/>
      <c r="B72" s="30"/>
      <c r="C72" s="30"/>
      <c r="D72" s="30"/>
      <c r="E72" s="30"/>
      <c r="F72" s="30"/>
      <c r="G72" s="30"/>
      <c r="H72" s="30"/>
      <c r="I72" s="30"/>
      <c r="J72" s="30"/>
      <c r="K72" s="30"/>
      <c r="L72" s="30"/>
    </row>
    <row r="73" spans="1:12" ht="18.75" thickBot="1" x14ac:dyDescent="0.3">
      <c r="A73" s="373" t="s">
        <v>49</v>
      </c>
      <c r="B73" s="373"/>
      <c r="C73" s="370"/>
      <c r="D73" s="370"/>
      <c r="E73" s="370"/>
      <c r="F73" s="30"/>
      <c r="G73" s="373" t="s">
        <v>41</v>
      </c>
      <c r="H73" s="373"/>
      <c r="I73" s="370"/>
      <c r="J73" s="370"/>
      <c r="K73" s="370"/>
      <c r="L73" s="30"/>
    </row>
    <row r="74" spans="1:12" ht="18" x14ac:dyDescent="0.25">
      <c r="A74" s="374"/>
      <c r="B74" s="374"/>
      <c r="C74" s="374"/>
      <c r="D74" s="374"/>
      <c r="E74" s="374"/>
      <c r="F74" s="374"/>
      <c r="G74" s="374"/>
      <c r="H74" s="374"/>
      <c r="I74" s="374"/>
      <c r="J74" s="374"/>
      <c r="K74" s="374"/>
      <c r="L74" s="374"/>
    </row>
    <row r="75" spans="1:12" ht="18" x14ac:dyDescent="0.25">
      <c r="A75" s="35"/>
      <c r="B75" s="35"/>
      <c r="C75" s="35"/>
      <c r="D75" s="35"/>
      <c r="E75" s="35"/>
      <c r="F75" s="35"/>
      <c r="G75" s="35"/>
      <c r="H75" s="35"/>
      <c r="I75" s="35"/>
      <c r="J75" s="35"/>
      <c r="K75" s="35"/>
      <c r="L75" s="35"/>
    </row>
  </sheetData>
  <mergeCells count="19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3:D33"/>
    <mergeCell ref="E33:F33"/>
    <mergeCell ref="G33:H33"/>
    <mergeCell ref="I33:J33"/>
    <mergeCell ref="K33:L33"/>
    <mergeCell ref="A31:B31"/>
    <mergeCell ref="C31:D31"/>
    <mergeCell ref="E31:F31"/>
    <mergeCell ref="G31:H31"/>
    <mergeCell ref="I31:J31"/>
    <mergeCell ref="K31:L31"/>
    <mergeCell ref="A35:B35"/>
    <mergeCell ref="C35:L35"/>
    <mergeCell ref="A37:L37"/>
    <mergeCell ref="A38:B38"/>
    <mergeCell ref="D38:E38"/>
    <mergeCell ref="G38:H38"/>
    <mergeCell ref="J38:K38"/>
    <mergeCell ref="A34:B34"/>
    <mergeCell ref="C34:D34"/>
    <mergeCell ref="E34:F34"/>
    <mergeCell ref="G34:H34"/>
    <mergeCell ref="I34:J34"/>
    <mergeCell ref="K34:L34"/>
    <mergeCell ref="B40:K40"/>
    <mergeCell ref="B41:C41"/>
    <mergeCell ref="D41:E41"/>
    <mergeCell ref="G41:H41"/>
    <mergeCell ref="I41:J41"/>
    <mergeCell ref="B42:C42"/>
    <mergeCell ref="D42:E42"/>
    <mergeCell ref="G42:H42"/>
    <mergeCell ref="I42:J42"/>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289"/>
      <c r="B1" s="289"/>
      <c r="C1" s="289"/>
      <c r="D1" s="289"/>
      <c r="E1" s="290" t="s">
        <v>48</v>
      </c>
      <c r="F1" s="290"/>
      <c r="G1" s="290"/>
      <c r="H1" s="290"/>
      <c r="I1" s="290"/>
      <c r="J1" s="290"/>
      <c r="K1" s="290"/>
      <c r="L1" s="290"/>
    </row>
    <row r="2" spans="1:13" s="32" customFormat="1" ht="15.75" customHeight="1" x14ac:dyDescent="0.25">
      <c r="A2" s="289"/>
      <c r="B2" s="289"/>
      <c r="C2" s="289"/>
      <c r="D2" s="289"/>
      <c r="E2" s="290"/>
      <c r="F2" s="290"/>
      <c r="G2" s="290"/>
      <c r="H2" s="290"/>
      <c r="I2" s="290"/>
      <c r="J2" s="290"/>
      <c r="K2" s="290"/>
      <c r="L2" s="290"/>
    </row>
    <row r="3" spans="1:13" s="32" customFormat="1" ht="15.75" customHeight="1" x14ac:dyDescent="0.25">
      <c r="A3" s="289"/>
      <c r="B3" s="289"/>
      <c r="C3" s="289"/>
      <c r="D3" s="289"/>
      <c r="E3" s="290"/>
      <c r="F3" s="290"/>
      <c r="G3" s="290"/>
      <c r="H3" s="290"/>
      <c r="I3" s="290"/>
      <c r="J3" s="290"/>
      <c r="K3" s="290"/>
      <c r="L3" s="290"/>
    </row>
    <row r="4" spans="1:13" s="32" customFormat="1" ht="15.75" customHeight="1" x14ac:dyDescent="0.25">
      <c r="A4" s="289"/>
      <c r="B4" s="289"/>
      <c r="C4" s="289"/>
      <c r="D4" s="289"/>
      <c r="E4" s="299" t="s">
        <v>2605</v>
      </c>
      <c r="F4" s="299"/>
      <c r="G4" s="299"/>
      <c r="H4" s="299"/>
      <c r="I4" s="299"/>
      <c r="J4" s="299"/>
      <c r="K4" s="299"/>
      <c r="L4" s="299"/>
    </row>
    <row r="5" spans="1:13" s="32" customFormat="1" ht="15.75" customHeight="1" x14ac:dyDescent="0.25">
      <c r="A5" s="289"/>
      <c r="B5" s="289"/>
      <c r="C5" s="289"/>
      <c r="D5" s="289"/>
      <c r="E5" s="299"/>
      <c r="F5" s="299"/>
      <c r="G5" s="299"/>
      <c r="H5" s="299"/>
      <c r="I5" s="299"/>
      <c r="J5" s="299"/>
      <c r="K5" s="299"/>
      <c r="L5" s="299"/>
    </row>
    <row r="6" spans="1:13" s="32" customFormat="1" ht="15.75" customHeight="1" x14ac:dyDescent="0.25">
      <c r="E6" s="299"/>
      <c r="F6" s="299"/>
      <c r="G6" s="299"/>
      <c r="H6" s="299"/>
      <c r="I6" s="299"/>
      <c r="J6" s="299"/>
      <c r="K6" s="299"/>
      <c r="L6" s="299"/>
    </row>
    <row r="7" spans="1:13" s="32" customFormat="1" ht="15.75" customHeight="1" x14ac:dyDescent="0.25">
      <c r="A7" s="156"/>
      <c r="E7" s="78"/>
      <c r="F7" s="78"/>
      <c r="G7" s="78"/>
      <c r="H7" s="78"/>
      <c r="I7" s="78"/>
      <c r="J7" s="78"/>
      <c r="K7" s="78"/>
      <c r="L7" s="78"/>
    </row>
    <row r="8" spans="1:13" s="32" customFormat="1" ht="15.75" customHeight="1" thickBot="1" x14ac:dyDescent="0.3">
      <c r="E8" s="43"/>
      <c r="F8" s="43"/>
      <c r="G8" s="43"/>
      <c r="H8" s="43"/>
      <c r="I8" s="43"/>
      <c r="J8" s="43"/>
      <c r="K8" s="43"/>
      <c r="L8" s="43"/>
    </row>
    <row r="9" spans="1:13" ht="19.5" customHeight="1" thickBot="1" x14ac:dyDescent="0.3">
      <c r="A9" s="260" t="s">
        <v>28</v>
      </c>
      <c r="B9" s="261"/>
      <c r="C9" s="261"/>
      <c r="D9" s="261"/>
      <c r="E9" s="261"/>
      <c r="F9" s="262"/>
      <c r="G9" s="260" t="s">
        <v>29</v>
      </c>
      <c r="H9" s="261"/>
      <c r="I9" s="261"/>
      <c r="J9" s="261"/>
      <c r="K9" s="261"/>
      <c r="L9" s="262"/>
      <c r="M9" s="37"/>
    </row>
    <row r="10" spans="1:13" ht="19.5" customHeight="1" x14ac:dyDescent="0.25">
      <c r="A10" s="272" t="s">
        <v>31</v>
      </c>
      <c r="B10" s="270"/>
      <c r="C10" s="283"/>
      <c r="D10" s="283"/>
      <c r="E10" s="283"/>
      <c r="F10" s="284"/>
      <c r="G10" s="272" t="s">
        <v>36</v>
      </c>
      <c r="H10" s="270"/>
      <c r="I10" s="275"/>
      <c r="J10" s="275"/>
      <c r="K10" s="275"/>
      <c r="L10" s="276"/>
      <c r="M10" s="37"/>
    </row>
    <row r="11" spans="1:13" ht="19.5" customHeight="1" x14ac:dyDescent="0.25">
      <c r="A11" s="245" t="s">
        <v>32</v>
      </c>
      <c r="B11" s="246"/>
      <c r="C11" s="247"/>
      <c r="D11" s="247"/>
      <c r="E11" s="247"/>
      <c r="F11" s="269"/>
      <c r="G11" s="245" t="s">
        <v>37</v>
      </c>
      <c r="H11" s="246"/>
      <c r="I11" s="247"/>
      <c r="J11" s="247"/>
      <c r="K11" s="247"/>
      <c r="L11" s="269"/>
      <c r="M11" s="37"/>
    </row>
    <row r="12" spans="1:13" ht="19.5" customHeight="1" x14ac:dyDescent="0.25">
      <c r="A12" s="245"/>
      <c r="B12" s="246"/>
      <c r="C12" s="247"/>
      <c r="D12" s="247"/>
      <c r="E12" s="247"/>
      <c r="F12" s="269"/>
      <c r="G12" s="245" t="s">
        <v>38</v>
      </c>
      <c r="H12" s="246"/>
      <c r="I12" s="247"/>
      <c r="J12" s="247"/>
      <c r="K12" s="247"/>
      <c r="L12" s="269"/>
      <c r="M12" s="37"/>
    </row>
    <row r="13" spans="1:13" ht="19.5" customHeight="1" x14ac:dyDescent="0.25">
      <c r="A13" s="245"/>
      <c r="B13" s="246"/>
      <c r="C13" s="247"/>
      <c r="D13" s="247"/>
      <c r="E13" s="247"/>
      <c r="F13" s="269"/>
      <c r="G13" s="245" t="s">
        <v>39</v>
      </c>
      <c r="H13" s="246"/>
      <c r="I13" s="247" t="s">
        <v>50</v>
      </c>
      <c r="J13" s="247"/>
      <c r="K13" s="247"/>
      <c r="L13" s="269"/>
      <c r="M13" s="37"/>
    </row>
    <row r="14" spans="1:13" ht="19.5" customHeight="1" x14ac:dyDescent="0.25">
      <c r="A14" s="245"/>
      <c r="B14" s="246"/>
      <c r="C14" s="247"/>
      <c r="D14" s="247"/>
      <c r="E14" s="247"/>
      <c r="F14" s="269"/>
      <c r="G14" s="245" t="s">
        <v>34</v>
      </c>
      <c r="H14" s="246"/>
      <c r="I14" s="279"/>
      <c r="J14" s="279"/>
      <c r="K14" s="279"/>
      <c r="L14" s="280"/>
      <c r="M14" s="37"/>
    </row>
    <row r="15" spans="1:13" ht="19.5" customHeight="1" thickBot="1" x14ac:dyDescent="0.3">
      <c r="A15" s="277" t="s">
        <v>33</v>
      </c>
      <c r="B15" s="278"/>
      <c r="C15" s="319"/>
      <c r="D15" s="319"/>
      <c r="E15" s="319"/>
      <c r="F15" s="320"/>
      <c r="G15" s="277" t="s">
        <v>35</v>
      </c>
      <c r="H15" s="278"/>
      <c r="I15" s="281"/>
      <c r="J15" s="281"/>
      <c r="K15" s="281"/>
      <c r="L15" s="282"/>
      <c r="M15" s="37"/>
    </row>
    <row r="16" spans="1:13" ht="16.5" customHeight="1" x14ac:dyDescent="0.25">
      <c r="A16" s="67"/>
      <c r="B16" s="67"/>
      <c r="C16" s="149"/>
      <c r="D16" s="149"/>
      <c r="E16" s="149"/>
      <c r="F16" s="149"/>
      <c r="G16" s="67"/>
      <c r="H16" s="67"/>
      <c r="I16" s="68"/>
      <c r="J16" s="68"/>
      <c r="K16" s="68"/>
      <c r="L16" s="68"/>
      <c r="M16" s="37"/>
    </row>
    <row r="17" spans="1:13" x14ac:dyDescent="0.25">
      <c r="A17" s="67"/>
      <c r="B17" s="67"/>
      <c r="C17" s="74"/>
      <c r="D17" s="74"/>
      <c r="E17" s="74"/>
      <c r="F17" s="74"/>
      <c r="G17" s="67"/>
      <c r="H17" s="67"/>
      <c r="I17" s="68"/>
      <c r="J17" s="68"/>
      <c r="K17" s="68"/>
      <c r="L17" s="68"/>
      <c r="M17" s="37"/>
    </row>
    <row r="18" spans="1:13" ht="30" customHeight="1" x14ac:dyDescent="0.25">
      <c r="A18" s="292" t="s">
        <v>1768</v>
      </c>
      <c r="B18" s="292"/>
      <c r="C18" s="292"/>
      <c r="D18" s="292"/>
      <c r="E18" s="292"/>
      <c r="F18" s="292"/>
      <c r="G18" s="292"/>
      <c r="H18" s="292"/>
      <c r="I18" s="292"/>
      <c r="J18" s="292"/>
      <c r="K18" s="292"/>
      <c r="L18" s="292"/>
      <c r="M18" s="76"/>
    </row>
    <row r="19" spans="1:13" ht="30" customHeight="1" x14ac:dyDescent="0.25">
      <c r="A19" s="292"/>
      <c r="B19" s="292"/>
      <c r="C19" s="292"/>
      <c r="D19" s="292"/>
      <c r="E19" s="292"/>
      <c r="F19" s="292"/>
      <c r="G19" s="292"/>
      <c r="H19" s="292"/>
      <c r="I19" s="292"/>
      <c r="J19" s="292"/>
      <c r="K19" s="292"/>
      <c r="L19" s="292"/>
      <c r="M19" s="76"/>
    </row>
    <row r="20" spans="1:13" ht="15.75" customHeight="1" x14ac:dyDescent="0.25">
      <c r="A20" s="148"/>
      <c r="B20" s="148"/>
      <c r="C20" s="148"/>
      <c r="D20" s="148"/>
      <c r="E20" s="148"/>
      <c r="F20" s="148"/>
      <c r="G20" s="148"/>
      <c r="H20" s="148"/>
      <c r="I20" s="148"/>
      <c r="J20" s="148"/>
      <c r="K20" s="148"/>
      <c r="L20" s="148"/>
      <c r="M20" s="147"/>
    </row>
    <row r="21" spans="1:13" thickBot="1" x14ac:dyDescent="0.3">
      <c r="A21" s="37"/>
      <c r="B21" s="37"/>
      <c r="C21" s="37"/>
      <c r="D21" s="37"/>
      <c r="E21" s="37"/>
      <c r="F21" s="37"/>
      <c r="G21" s="37"/>
      <c r="H21" s="37"/>
      <c r="I21" s="37"/>
      <c r="J21" s="37"/>
      <c r="K21" s="37"/>
      <c r="L21" s="37"/>
      <c r="M21" s="76"/>
    </row>
    <row r="22" spans="1:13" ht="19.5" customHeight="1" thickBot="1" x14ac:dyDescent="0.3">
      <c r="A22" s="260" t="s">
        <v>20</v>
      </c>
      <c r="B22" s="261"/>
      <c r="C22" s="261"/>
      <c r="D22" s="261"/>
      <c r="E22" s="261"/>
      <c r="F22" s="261"/>
      <c r="G22" s="261"/>
      <c r="H22" s="261"/>
      <c r="I22" s="261"/>
      <c r="J22" s="261"/>
      <c r="K22" s="261"/>
      <c r="L22" s="262"/>
      <c r="M22" s="37"/>
    </row>
    <row r="23" spans="1:13" ht="19.5" customHeight="1" x14ac:dyDescent="0.25">
      <c r="A23" s="272" t="s">
        <v>23</v>
      </c>
      <c r="B23" s="270"/>
      <c r="C23" s="270"/>
      <c r="D23" s="270"/>
      <c r="E23" s="270" t="s">
        <v>22</v>
      </c>
      <c r="F23" s="270"/>
      <c r="G23" s="270" t="s">
        <v>21</v>
      </c>
      <c r="H23" s="270"/>
      <c r="I23" s="270" t="s">
        <v>53</v>
      </c>
      <c r="J23" s="270"/>
      <c r="K23" s="270" t="s">
        <v>54</v>
      </c>
      <c r="L23" s="271"/>
      <c r="M23" s="37"/>
    </row>
    <row r="24" spans="1:13" ht="19.5" customHeight="1" x14ac:dyDescent="0.25">
      <c r="A24" s="321"/>
      <c r="B24" s="317"/>
      <c r="C24" s="317"/>
      <c r="D24" s="317"/>
      <c r="E24" s="317"/>
      <c r="F24" s="317"/>
      <c r="G24" s="317"/>
      <c r="H24" s="317"/>
      <c r="I24" s="317"/>
      <c r="J24" s="317"/>
      <c r="K24" s="317"/>
      <c r="L24" s="322"/>
      <c r="M24" s="37"/>
    </row>
    <row r="25" spans="1:13" ht="19.5" customHeight="1" x14ac:dyDescent="0.25">
      <c r="A25" s="321"/>
      <c r="B25" s="317"/>
      <c r="C25" s="317"/>
      <c r="D25" s="317"/>
      <c r="E25" s="317"/>
      <c r="F25" s="317"/>
      <c r="G25" s="317"/>
      <c r="H25" s="317"/>
      <c r="I25" s="317"/>
      <c r="J25" s="317"/>
      <c r="K25" s="317"/>
      <c r="L25" s="322"/>
      <c r="M25" s="37"/>
    </row>
    <row r="26" spans="1:13" ht="19.5" customHeight="1" x14ac:dyDescent="0.25">
      <c r="A26" s="321"/>
      <c r="B26" s="317"/>
      <c r="C26" s="317"/>
      <c r="D26" s="317"/>
      <c r="E26" s="317"/>
      <c r="F26" s="317"/>
      <c r="G26" s="317"/>
      <c r="H26" s="317"/>
      <c r="I26" s="317"/>
      <c r="J26" s="317"/>
      <c r="K26" s="317"/>
      <c r="L26" s="322"/>
      <c r="M26" s="37"/>
    </row>
    <row r="27" spans="1:13" ht="19.5" customHeight="1" x14ac:dyDescent="0.25">
      <c r="A27" s="321"/>
      <c r="B27" s="317"/>
      <c r="C27" s="317"/>
      <c r="D27" s="317"/>
      <c r="E27" s="317"/>
      <c r="F27" s="317"/>
      <c r="G27" s="317"/>
      <c r="H27" s="317"/>
      <c r="I27" s="317"/>
      <c r="J27" s="317"/>
      <c r="K27" s="317"/>
      <c r="L27" s="322"/>
      <c r="M27" s="37"/>
    </row>
    <row r="28" spans="1:13" ht="19.5" customHeight="1" thickBot="1" x14ac:dyDescent="0.3">
      <c r="A28" s="318"/>
      <c r="B28" s="319"/>
      <c r="C28" s="319"/>
      <c r="D28" s="319"/>
      <c r="E28" s="319"/>
      <c r="F28" s="319"/>
      <c r="G28" s="319"/>
      <c r="H28" s="319"/>
      <c r="I28" s="319"/>
      <c r="J28" s="319"/>
      <c r="K28" s="319"/>
      <c r="L28" s="320"/>
      <c r="M28" s="37"/>
    </row>
    <row r="29" spans="1:13" ht="15" x14ac:dyDescent="0.25">
      <c r="A29" s="74"/>
      <c r="B29" s="74"/>
      <c r="C29" s="74"/>
      <c r="D29" s="74"/>
      <c r="E29" s="74"/>
      <c r="F29" s="74"/>
      <c r="G29" s="74"/>
      <c r="H29" s="74"/>
      <c r="I29" s="74"/>
      <c r="J29" s="74"/>
      <c r="K29" s="74"/>
      <c r="L29" s="74"/>
      <c r="M29" s="37"/>
    </row>
    <row r="30" spans="1:13" thickBot="1" x14ac:dyDescent="0.3">
      <c r="A30" s="37"/>
      <c r="B30" s="37"/>
      <c r="C30" s="37"/>
      <c r="D30" s="37"/>
      <c r="E30" s="37"/>
      <c r="F30" s="37"/>
      <c r="G30" s="37"/>
      <c r="H30" s="37"/>
      <c r="I30" s="37"/>
      <c r="J30" s="37"/>
      <c r="K30" s="37"/>
      <c r="L30" s="37"/>
      <c r="M30" s="76"/>
    </row>
    <row r="31" spans="1:13" ht="19.5" customHeight="1" thickBot="1" x14ac:dyDescent="0.3">
      <c r="A31" s="260" t="s">
        <v>13</v>
      </c>
      <c r="B31" s="261"/>
      <c r="C31" s="261"/>
      <c r="D31" s="261"/>
      <c r="E31" s="261"/>
      <c r="F31" s="261"/>
      <c r="G31" s="261"/>
      <c r="H31" s="261"/>
      <c r="I31" s="261"/>
      <c r="J31" s="261"/>
      <c r="K31" s="261"/>
      <c r="L31" s="262"/>
      <c r="M31" s="37"/>
    </row>
    <row r="32" spans="1:13" ht="19.5" customHeight="1" x14ac:dyDescent="0.25">
      <c r="A32" s="272" t="s">
        <v>30</v>
      </c>
      <c r="B32" s="270"/>
      <c r="C32" s="283" t="str">
        <f>IF(C34="","",LOOKUP(C34,Models,Description))</f>
        <v/>
      </c>
      <c r="D32" s="283"/>
      <c r="E32" s="283"/>
      <c r="F32" s="283"/>
      <c r="G32" s="283"/>
      <c r="H32" s="283"/>
      <c r="I32" s="270" t="s">
        <v>25</v>
      </c>
      <c r="J32" s="270"/>
      <c r="K32" s="283" t="s">
        <v>1769</v>
      </c>
      <c r="L32" s="284"/>
      <c r="M32" s="37"/>
    </row>
    <row r="33" spans="1:13" ht="19.5" customHeight="1" x14ac:dyDescent="0.25">
      <c r="A33" s="245" t="s">
        <v>15</v>
      </c>
      <c r="B33" s="246"/>
      <c r="C33" s="317"/>
      <c r="D33" s="317"/>
      <c r="E33" s="246" t="s">
        <v>16</v>
      </c>
      <c r="F33" s="246"/>
      <c r="G33" s="247"/>
      <c r="H33" s="247"/>
      <c r="I33" s="246" t="s">
        <v>18</v>
      </c>
      <c r="J33" s="246"/>
      <c r="K33" s="247"/>
      <c r="L33" s="269"/>
      <c r="M33" s="37"/>
    </row>
    <row r="34" spans="1:13" ht="19.5" customHeight="1" x14ac:dyDescent="0.25">
      <c r="A34" s="245" t="s">
        <v>14</v>
      </c>
      <c r="B34" s="246"/>
      <c r="C34" s="247"/>
      <c r="D34" s="247"/>
      <c r="E34" s="246" t="s">
        <v>42</v>
      </c>
      <c r="F34" s="246"/>
      <c r="G34" s="247"/>
      <c r="H34" s="247"/>
      <c r="I34" s="246" t="s">
        <v>43</v>
      </c>
      <c r="J34" s="246"/>
      <c r="K34" s="247"/>
      <c r="L34" s="269"/>
      <c r="M34" s="37"/>
    </row>
    <row r="35" spans="1:13" ht="19.5" customHeight="1" x14ac:dyDescent="0.25">
      <c r="A35" s="376" t="s">
        <v>17</v>
      </c>
      <c r="B35" s="377"/>
      <c r="C35" s="378"/>
      <c r="D35" s="378"/>
      <c r="E35" s="377" t="s">
        <v>26</v>
      </c>
      <c r="F35" s="377"/>
      <c r="G35" s="378"/>
      <c r="H35" s="378"/>
      <c r="I35" s="377" t="s">
        <v>27</v>
      </c>
      <c r="J35" s="377"/>
      <c r="K35" s="378"/>
      <c r="L35" s="379"/>
      <c r="M35" s="37"/>
    </row>
    <row r="36" spans="1:13" ht="33" customHeight="1" x14ac:dyDescent="0.25">
      <c r="A36" s="380" t="s">
        <v>19</v>
      </c>
      <c r="B36" s="381"/>
      <c r="C36" s="382" t="str">
        <f>IF(C34="","",LOOKUP(C34,Models,Accuracy))</f>
        <v/>
      </c>
      <c r="D36" s="383"/>
      <c r="E36" s="383"/>
      <c r="F36" s="383"/>
      <c r="G36" s="383"/>
      <c r="H36" s="383"/>
      <c r="I36" s="383"/>
      <c r="J36" s="383"/>
      <c r="K36" s="383"/>
      <c r="L36" s="384"/>
      <c r="M36" s="37"/>
    </row>
    <row r="37" spans="1:13" ht="19.5" customHeight="1" x14ac:dyDescent="0.25">
      <c r="A37" s="385"/>
      <c r="B37" s="386"/>
      <c r="C37" s="386"/>
      <c r="D37" s="387"/>
      <c r="E37" s="388" t="s">
        <v>42</v>
      </c>
      <c r="F37" s="388"/>
      <c r="G37" s="389"/>
      <c r="H37" s="389"/>
      <c r="I37" s="388" t="s">
        <v>43</v>
      </c>
      <c r="J37" s="388"/>
      <c r="K37" s="389"/>
      <c r="L37" s="390"/>
      <c r="M37" s="76"/>
    </row>
    <row r="38" spans="1:13" ht="19.5" customHeight="1" x14ac:dyDescent="0.25">
      <c r="A38" s="245" t="s">
        <v>17</v>
      </c>
      <c r="B38" s="246"/>
      <c r="C38" s="247"/>
      <c r="D38" s="247"/>
      <c r="E38" s="246" t="s">
        <v>26</v>
      </c>
      <c r="F38" s="246"/>
      <c r="G38" s="247"/>
      <c r="H38" s="247"/>
      <c r="I38" s="246" t="s">
        <v>27</v>
      </c>
      <c r="J38" s="246"/>
      <c r="K38" s="247"/>
      <c r="L38" s="269"/>
      <c r="M38" s="76"/>
    </row>
    <row r="39" spans="1:13" ht="33" customHeight="1" thickBot="1" x14ac:dyDescent="0.3">
      <c r="A39" s="277" t="s">
        <v>19</v>
      </c>
      <c r="B39" s="278"/>
      <c r="C39" s="315" t="str">
        <f>IF(C34="","",LOOKUP(C34,Models,Accuracy2))</f>
        <v/>
      </c>
      <c r="D39" s="315"/>
      <c r="E39" s="315"/>
      <c r="F39" s="315"/>
      <c r="G39" s="315"/>
      <c r="H39" s="315"/>
      <c r="I39" s="315"/>
      <c r="J39" s="315"/>
      <c r="K39" s="315"/>
      <c r="L39" s="316"/>
      <c r="M39" s="37"/>
    </row>
    <row r="40" spans="1:13" ht="15.75" customHeight="1" x14ac:dyDescent="0.25">
      <c r="A40" s="67"/>
      <c r="B40" s="67"/>
      <c r="C40" s="146"/>
      <c r="D40" s="146"/>
      <c r="E40" s="146"/>
      <c r="F40" s="146"/>
      <c r="G40" s="146"/>
      <c r="H40" s="146"/>
      <c r="I40" s="146"/>
      <c r="J40" s="146"/>
      <c r="K40" s="146"/>
      <c r="L40" s="146"/>
      <c r="M40" s="37"/>
    </row>
    <row r="41" spans="1:13" thickBot="1" x14ac:dyDescent="0.3">
      <c r="A41" s="76"/>
      <c r="B41" s="76"/>
      <c r="C41" s="76"/>
      <c r="D41" s="76"/>
      <c r="E41" s="76"/>
      <c r="F41" s="76"/>
      <c r="G41" s="76"/>
      <c r="H41" s="76"/>
      <c r="I41" s="76"/>
      <c r="J41" s="76"/>
      <c r="K41" s="76"/>
      <c r="L41" s="76"/>
      <c r="M41" s="37"/>
    </row>
    <row r="42" spans="1:13" ht="21" customHeight="1" thickBot="1" x14ac:dyDescent="0.3">
      <c r="A42" s="260" t="s">
        <v>7</v>
      </c>
      <c r="B42" s="261"/>
      <c r="C42" s="261"/>
      <c r="D42" s="261"/>
      <c r="E42" s="261"/>
      <c r="F42" s="261"/>
      <c r="G42" s="261"/>
      <c r="H42" s="261"/>
      <c r="I42" s="261"/>
      <c r="J42" s="261"/>
      <c r="K42" s="261"/>
      <c r="L42" s="262"/>
      <c r="M42" s="76"/>
    </row>
    <row r="43" spans="1:13" ht="21" customHeight="1" thickBot="1" x14ac:dyDescent="0.3">
      <c r="A43" s="263" t="s">
        <v>8</v>
      </c>
      <c r="B43" s="264"/>
      <c r="C43" s="24"/>
      <c r="D43" s="264" t="s">
        <v>9</v>
      </c>
      <c r="E43" s="264"/>
      <c r="F43" s="24"/>
      <c r="G43" s="264" t="s">
        <v>10</v>
      </c>
      <c r="H43" s="264"/>
      <c r="I43" s="24"/>
      <c r="J43" s="264" t="s">
        <v>11</v>
      </c>
      <c r="K43" s="264"/>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260" t="s">
        <v>24</v>
      </c>
      <c r="B46" s="261"/>
      <c r="C46" s="261"/>
      <c r="D46" s="261"/>
      <c r="E46" s="261"/>
      <c r="F46" s="261"/>
      <c r="G46" s="261"/>
      <c r="H46" s="261"/>
      <c r="I46" s="261"/>
      <c r="J46" s="261"/>
      <c r="K46" s="261"/>
      <c r="L46" s="262"/>
      <c r="M46" s="37"/>
    </row>
    <row r="47" spans="1:13" ht="15" x14ac:dyDescent="0.25">
      <c r="A47" s="250"/>
      <c r="B47" s="251"/>
      <c r="C47" s="251"/>
      <c r="D47" s="251"/>
      <c r="E47" s="251"/>
      <c r="F47" s="251"/>
      <c r="G47" s="251"/>
      <c r="H47" s="251"/>
      <c r="I47" s="251"/>
      <c r="J47" s="251"/>
      <c r="K47" s="251"/>
      <c r="L47" s="252"/>
      <c r="M47" s="76"/>
    </row>
    <row r="48" spans="1:13" ht="15" x14ac:dyDescent="0.25">
      <c r="A48" s="253"/>
      <c r="B48" s="254"/>
      <c r="C48" s="254"/>
      <c r="D48" s="254"/>
      <c r="E48" s="254"/>
      <c r="F48" s="254"/>
      <c r="G48" s="254"/>
      <c r="H48" s="254"/>
      <c r="I48" s="254"/>
      <c r="J48" s="254"/>
      <c r="K48" s="254"/>
      <c r="L48" s="255"/>
      <c r="M48" s="76"/>
    </row>
    <row r="49" spans="1:13" thickBot="1" x14ac:dyDescent="0.3">
      <c r="A49" s="256"/>
      <c r="B49" s="257"/>
      <c r="C49" s="257"/>
      <c r="D49" s="257"/>
      <c r="E49" s="257"/>
      <c r="F49" s="257"/>
      <c r="G49" s="257"/>
      <c r="H49" s="257"/>
      <c r="I49" s="257"/>
      <c r="J49" s="257"/>
      <c r="K49" s="257"/>
      <c r="L49" s="258"/>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292" t="s">
        <v>47</v>
      </c>
      <c r="B52" s="293"/>
      <c r="C52" s="293"/>
      <c r="D52" s="293"/>
      <c r="E52" s="293"/>
      <c r="F52" s="293"/>
      <c r="G52" s="293"/>
      <c r="H52" s="293"/>
      <c r="I52" s="293"/>
      <c r="J52" s="293"/>
      <c r="K52" s="293"/>
      <c r="L52" s="293"/>
      <c r="M52" s="76"/>
    </row>
    <row r="53" spans="1:13" ht="22.5" customHeight="1" x14ac:dyDescent="0.25">
      <c r="A53" s="293"/>
      <c r="B53" s="293"/>
      <c r="C53" s="293"/>
      <c r="D53" s="293"/>
      <c r="E53" s="293"/>
      <c r="F53" s="293"/>
      <c r="G53" s="293"/>
      <c r="H53" s="293"/>
      <c r="I53" s="293"/>
      <c r="J53" s="293"/>
      <c r="K53" s="293"/>
      <c r="L53" s="293"/>
      <c r="M53" s="76"/>
    </row>
    <row r="54" spans="1:13" ht="23.25" customHeight="1" x14ac:dyDescent="0.25">
      <c r="A54" s="292" t="s">
        <v>1770</v>
      </c>
      <c r="B54" s="293"/>
      <c r="C54" s="293"/>
      <c r="D54" s="293"/>
      <c r="E54" s="293"/>
      <c r="F54" s="293"/>
      <c r="G54" s="293"/>
      <c r="H54" s="293"/>
      <c r="I54" s="293"/>
      <c r="J54" s="293"/>
      <c r="K54" s="293"/>
      <c r="L54" s="293"/>
      <c r="M54" s="147"/>
    </row>
    <row r="55" spans="1:13" ht="23.25" customHeight="1" x14ac:dyDescent="0.25">
      <c r="A55" s="293"/>
      <c r="B55" s="293"/>
      <c r="C55" s="293"/>
      <c r="D55" s="293"/>
      <c r="E55" s="293"/>
      <c r="F55" s="293"/>
      <c r="G55" s="293"/>
      <c r="H55" s="293"/>
      <c r="I55" s="293"/>
      <c r="J55" s="293"/>
      <c r="K55" s="293"/>
      <c r="L55" s="293"/>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310"/>
      <c r="J57" s="310"/>
      <c r="K57" s="310"/>
      <c r="L57" s="310"/>
      <c r="M57" s="76"/>
    </row>
    <row r="58" spans="1:13" ht="16.5" customHeight="1" thickBot="1" x14ac:dyDescent="0.3">
      <c r="A58" s="287" t="s">
        <v>12</v>
      </c>
      <c r="B58" s="287"/>
      <c r="C58" s="286"/>
      <c r="D58" s="286"/>
      <c r="E58" s="286"/>
      <c r="F58" s="286"/>
      <c r="G58" s="287" t="s">
        <v>40</v>
      </c>
      <c r="H58" s="287"/>
      <c r="I58" s="311"/>
      <c r="J58" s="311"/>
      <c r="K58" s="311"/>
      <c r="L58" s="311"/>
      <c r="M58" s="76"/>
    </row>
    <row r="59" spans="1:13" ht="15" x14ac:dyDescent="0.25">
      <c r="A59" s="37"/>
      <c r="B59" s="37"/>
      <c r="C59" s="37"/>
      <c r="D59" s="37"/>
      <c r="E59" s="37"/>
      <c r="F59" s="37"/>
      <c r="G59" s="37"/>
      <c r="H59" s="37"/>
      <c r="I59" s="37"/>
      <c r="J59" s="37"/>
      <c r="K59" s="37"/>
      <c r="L59" s="37"/>
      <c r="M59" s="76"/>
    </row>
    <row r="60" spans="1:13" ht="16.5" thickBot="1" x14ac:dyDescent="0.3">
      <c r="A60" s="287" t="s">
        <v>49</v>
      </c>
      <c r="B60" s="287"/>
      <c r="C60" s="286"/>
      <c r="D60" s="286"/>
      <c r="E60" s="286"/>
      <c r="F60" s="286"/>
      <c r="G60" s="287" t="s">
        <v>41</v>
      </c>
      <c r="H60" s="287"/>
      <c r="I60" s="286"/>
      <c r="J60" s="286"/>
      <c r="K60" s="286"/>
      <c r="L60" s="286"/>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391"/>
      <c r="B63" s="392"/>
      <c r="C63" s="392"/>
      <c r="D63" s="392"/>
      <c r="E63" s="392"/>
      <c r="F63" s="392"/>
      <c r="G63" s="392"/>
      <c r="H63" s="392"/>
      <c r="I63" s="392"/>
      <c r="J63" s="392"/>
      <c r="K63" s="392"/>
      <c r="L63" s="393"/>
      <c r="M63" s="37"/>
    </row>
    <row r="64" spans="1:13" ht="15" x14ac:dyDescent="0.25">
      <c r="A64" s="394"/>
      <c r="B64" s="395"/>
      <c r="C64" s="395"/>
      <c r="D64" s="395"/>
      <c r="E64" s="395"/>
      <c r="F64" s="395"/>
      <c r="G64" s="395"/>
      <c r="H64" s="395"/>
      <c r="I64" s="395"/>
      <c r="J64" s="395"/>
      <c r="K64" s="395"/>
      <c r="L64" s="396"/>
      <c r="M64" s="37"/>
    </row>
    <row r="65" spans="1:16" ht="15" x14ac:dyDescent="0.25">
      <c r="A65" s="76"/>
      <c r="B65" s="76"/>
      <c r="C65" s="76"/>
      <c r="D65" s="76"/>
      <c r="E65" s="76"/>
      <c r="F65" s="76"/>
      <c r="G65" s="76"/>
      <c r="H65" s="76"/>
      <c r="I65" s="76"/>
      <c r="J65" s="76"/>
      <c r="K65" s="76"/>
      <c r="L65" s="76"/>
      <c r="M65" s="37"/>
    </row>
    <row r="66" spans="1:16" ht="15.75" customHeight="1" x14ac:dyDescent="0.25">
      <c r="A66" s="289"/>
      <c r="B66" s="289"/>
      <c r="C66" s="289"/>
      <c r="D66" s="289"/>
      <c r="E66" s="290" t="s">
        <v>48</v>
      </c>
      <c r="F66" s="290"/>
      <c r="G66" s="290"/>
      <c r="H66" s="290"/>
      <c r="I66" s="290"/>
      <c r="J66" s="290"/>
      <c r="K66" s="290"/>
      <c r="L66" s="290"/>
      <c r="M66" s="37"/>
    </row>
    <row r="67" spans="1:16" ht="15.75" customHeight="1" x14ac:dyDescent="0.25">
      <c r="A67" s="289"/>
      <c r="B67" s="289"/>
      <c r="C67" s="289"/>
      <c r="D67" s="289"/>
      <c r="E67" s="290"/>
      <c r="F67" s="290"/>
      <c r="G67" s="290"/>
      <c r="H67" s="290"/>
      <c r="I67" s="290"/>
      <c r="J67" s="290"/>
      <c r="K67" s="290"/>
      <c r="L67" s="290"/>
      <c r="M67" s="37"/>
    </row>
    <row r="68" spans="1:16" ht="15.75" customHeight="1" x14ac:dyDescent="0.25">
      <c r="A68" s="289"/>
      <c r="B68" s="289"/>
      <c r="C68" s="289"/>
      <c r="D68" s="289"/>
      <c r="E68" s="290"/>
      <c r="F68" s="290"/>
      <c r="G68" s="290"/>
      <c r="H68" s="290"/>
      <c r="I68" s="290"/>
      <c r="J68" s="290"/>
      <c r="K68" s="290"/>
      <c r="L68" s="290"/>
      <c r="M68" s="37"/>
    </row>
    <row r="69" spans="1:16" ht="15.75" customHeight="1" x14ac:dyDescent="0.25">
      <c r="A69" s="289"/>
      <c r="B69" s="289"/>
      <c r="C69" s="289"/>
      <c r="D69" s="289"/>
      <c r="E69" s="299" t="s">
        <v>51</v>
      </c>
      <c r="F69" s="299"/>
      <c r="G69" s="299"/>
      <c r="H69" s="299"/>
      <c r="I69" s="299"/>
      <c r="J69" s="299"/>
      <c r="K69" s="299"/>
      <c r="L69" s="299"/>
      <c r="M69" s="37"/>
    </row>
    <row r="70" spans="1:16" ht="15.75" customHeight="1" x14ac:dyDescent="0.25">
      <c r="A70" s="289"/>
      <c r="B70" s="289"/>
      <c r="C70" s="289"/>
      <c r="D70" s="289"/>
      <c r="E70" s="299"/>
      <c r="F70" s="299"/>
      <c r="G70" s="299"/>
      <c r="H70" s="299"/>
      <c r="I70" s="299"/>
      <c r="J70" s="299"/>
      <c r="K70" s="299"/>
      <c r="L70" s="299"/>
    </row>
    <row r="71" spans="1:16" ht="15.75" customHeight="1" x14ac:dyDescent="0.25">
      <c r="A71" s="289"/>
      <c r="B71" s="289"/>
      <c r="C71" s="289"/>
      <c r="D71" s="289"/>
      <c r="E71" s="299"/>
      <c r="F71" s="299"/>
      <c r="G71" s="299"/>
      <c r="H71" s="299"/>
      <c r="I71" s="299"/>
      <c r="J71" s="299"/>
      <c r="K71" s="299"/>
      <c r="L71" s="299"/>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260" t="str">
        <f>IF(K32="","",IF(K32="New","Calibration Data: As Found/As Left",IF(K32="Used","Calibration Data: As Found/As Left",IF(K32="Repaired","Calibration Data: As Found",))))</f>
        <v>Calibration Data: As Found/As Left</v>
      </c>
      <c r="C74" s="261"/>
      <c r="D74" s="261"/>
      <c r="E74" s="261"/>
      <c r="F74" s="261"/>
      <c r="G74" s="261"/>
      <c r="H74" s="261"/>
      <c r="I74" s="261"/>
      <c r="J74" s="261"/>
      <c r="K74" s="262"/>
      <c r="L74" s="37"/>
    </row>
    <row r="75" spans="1:16" ht="33" customHeight="1" x14ac:dyDescent="0.25">
      <c r="A75" s="37"/>
      <c r="B75" s="312" t="s">
        <v>0</v>
      </c>
      <c r="C75" s="313"/>
      <c r="D75" s="314" t="s">
        <v>2</v>
      </c>
      <c r="E75" s="313"/>
      <c r="F75" s="71" t="s">
        <v>1</v>
      </c>
      <c r="G75" s="314" t="s">
        <v>3</v>
      </c>
      <c r="H75" s="313"/>
      <c r="I75" s="314" t="s">
        <v>5</v>
      </c>
      <c r="J75" s="313"/>
      <c r="K75" s="27" t="s">
        <v>4</v>
      </c>
      <c r="L75" s="37"/>
      <c r="O75" s="99" t="s">
        <v>58</v>
      </c>
      <c r="P75" s="99" t="s">
        <v>59</v>
      </c>
    </row>
    <row r="76" spans="1:16" ht="15.75" customHeight="1" x14ac:dyDescent="0.25">
      <c r="A76" s="37"/>
      <c r="B76" s="300"/>
      <c r="C76" s="298"/>
      <c r="D76" s="297"/>
      <c r="E76" s="298"/>
      <c r="F76" s="72"/>
      <c r="G76" s="297" t="str">
        <f>IF(B76="","",B76-D76)</f>
        <v/>
      </c>
      <c r="H76" s="298"/>
      <c r="I76" s="297"/>
      <c r="J76" s="298"/>
      <c r="K76" s="79" t="str">
        <f>IF(G76="","",IF(AND(G76&gt;=-I76,G76&lt;=I76),"Pass","Fail"))</f>
        <v/>
      </c>
      <c r="L76" s="37"/>
      <c r="O76" s="10">
        <f>-I76</f>
        <v>0</v>
      </c>
      <c r="P76" s="10">
        <f>I76</f>
        <v>0</v>
      </c>
    </row>
    <row r="77" spans="1:16" ht="15.75" customHeight="1" x14ac:dyDescent="0.25">
      <c r="A77" s="37"/>
      <c r="B77" s="300"/>
      <c r="C77" s="298"/>
      <c r="D77" s="297"/>
      <c r="E77" s="298"/>
      <c r="F77" s="72"/>
      <c r="G77" s="297" t="str">
        <f t="shared" ref="G77:G79" si="0">IF(B77="","",B77-D77)</f>
        <v/>
      </c>
      <c r="H77" s="298"/>
      <c r="I77" s="297"/>
      <c r="J77" s="298"/>
      <c r="K77" s="79" t="str">
        <f t="shared" ref="K77:K79" si="1">IF(G77="","",IF(AND(G77&gt;=-I77,G77&lt;=I77),"Pass","Fail"))</f>
        <v/>
      </c>
      <c r="L77" s="37"/>
      <c r="O77" s="10">
        <f t="shared" ref="O77:O79" si="2">-I77</f>
        <v>0</v>
      </c>
      <c r="P77" s="10">
        <f t="shared" ref="P77:P79" si="3">I77</f>
        <v>0</v>
      </c>
    </row>
    <row r="78" spans="1:16" ht="15.75" customHeight="1" x14ac:dyDescent="0.25">
      <c r="A78" s="37"/>
      <c r="B78" s="300"/>
      <c r="C78" s="298"/>
      <c r="D78" s="297"/>
      <c r="E78" s="298"/>
      <c r="F78" s="72"/>
      <c r="G78" s="297" t="str">
        <f t="shared" si="0"/>
        <v/>
      </c>
      <c r="H78" s="298"/>
      <c r="I78" s="297"/>
      <c r="J78" s="298"/>
      <c r="K78" s="79" t="str">
        <f t="shared" si="1"/>
        <v/>
      </c>
      <c r="L78" s="37"/>
      <c r="O78" s="10">
        <f t="shared" si="2"/>
        <v>0</v>
      </c>
      <c r="P78" s="10">
        <f t="shared" si="3"/>
        <v>0</v>
      </c>
    </row>
    <row r="79" spans="1:16" ht="15.75" customHeight="1" x14ac:dyDescent="0.25">
      <c r="A79" s="37"/>
      <c r="B79" s="259"/>
      <c r="C79" s="247"/>
      <c r="D79" s="247"/>
      <c r="E79" s="247"/>
      <c r="F79" s="72"/>
      <c r="G79" s="247" t="str">
        <f t="shared" si="0"/>
        <v/>
      </c>
      <c r="H79" s="247"/>
      <c r="I79" s="247"/>
      <c r="J79" s="247"/>
      <c r="K79" s="79" t="str">
        <f t="shared" si="1"/>
        <v/>
      </c>
      <c r="L79" s="37"/>
      <c r="O79" s="10">
        <f t="shared" si="2"/>
        <v>0</v>
      </c>
      <c r="P79" s="10">
        <f t="shared" si="3"/>
        <v>0</v>
      </c>
    </row>
    <row r="80" spans="1:16" ht="15.75" customHeight="1" x14ac:dyDescent="0.25">
      <c r="A80" s="37"/>
      <c r="B80" s="300"/>
      <c r="C80" s="298"/>
      <c r="D80" s="297"/>
      <c r="E80" s="298"/>
      <c r="F80" s="72"/>
      <c r="G80" s="297" t="str">
        <f t="shared" ref="G80:G84" si="4">IF(B80="","",B80-D80)</f>
        <v/>
      </c>
      <c r="H80" s="298"/>
      <c r="I80" s="297"/>
      <c r="J80" s="298"/>
      <c r="K80" s="79" t="str">
        <f t="shared" ref="K80:K84" si="5">IF(G80="","",IF(AND(G80&gt;=-I80,G80&lt;=I80),"Pass","Fail"))</f>
        <v/>
      </c>
      <c r="L80" s="37"/>
      <c r="O80" s="10">
        <f>-I80</f>
        <v>0</v>
      </c>
      <c r="P80" s="10">
        <f>I80</f>
        <v>0</v>
      </c>
    </row>
    <row r="81" spans="1:16" ht="15.75" customHeight="1" x14ac:dyDescent="0.25">
      <c r="A81" s="37"/>
      <c r="B81" s="300"/>
      <c r="C81" s="298"/>
      <c r="D81" s="297"/>
      <c r="E81" s="298"/>
      <c r="F81" s="72"/>
      <c r="G81" s="297" t="str">
        <f t="shared" si="4"/>
        <v/>
      </c>
      <c r="H81" s="298"/>
      <c r="I81" s="297"/>
      <c r="J81" s="298"/>
      <c r="K81" s="79" t="str">
        <f t="shared" si="5"/>
        <v/>
      </c>
      <c r="L81" s="37"/>
      <c r="O81" s="10">
        <f>-I81</f>
        <v>0</v>
      </c>
      <c r="P81" s="10">
        <f>I81</f>
        <v>0</v>
      </c>
    </row>
    <row r="82" spans="1:16" ht="15.75" customHeight="1" x14ac:dyDescent="0.25">
      <c r="A82" s="37"/>
      <c r="B82" s="300"/>
      <c r="C82" s="298"/>
      <c r="D82" s="297"/>
      <c r="E82" s="298"/>
      <c r="F82" s="72"/>
      <c r="G82" s="297" t="str">
        <f t="shared" ref="G82" si="6">IF(B82="","",B82-D82)</f>
        <v/>
      </c>
      <c r="H82" s="298"/>
      <c r="I82" s="297"/>
      <c r="J82" s="298"/>
      <c r="K82" s="79" t="str">
        <f t="shared" ref="K82" si="7">IF(G82="","",IF(AND(G82&gt;=-I82,G82&lt;=I82),"Pass","Fail"))</f>
        <v/>
      </c>
      <c r="L82" s="37"/>
      <c r="O82" s="10">
        <f>-I82</f>
        <v>0</v>
      </c>
      <c r="P82" s="10">
        <f>I82</f>
        <v>0</v>
      </c>
    </row>
    <row r="83" spans="1:16" ht="15.75" customHeight="1" x14ac:dyDescent="0.25">
      <c r="A83" s="37"/>
      <c r="B83" s="259"/>
      <c r="C83" s="247"/>
      <c r="D83" s="247"/>
      <c r="E83" s="247"/>
      <c r="F83" s="72"/>
      <c r="G83" s="247" t="str">
        <f t="shared" si="4"/>
        <v/>
      </c>
      <c r="H83" s="247"/>
      <c r="I83" s="247"/>
      <c r="J83" s="247"/>
      <c r="K83" s="79" t="str">
        <f t="shared" si="5"/>
        <v/>
      </c>
      <c r="L83" s="37"/>
      <c r="O83" s="10">
        <f>-I83</f>
        <v>0</v>
      </c>
      <c r="P83" s="10">
        <f>I83</f>
        <v>0</v>
      </c>
    </row>
    <row r="84" spans="1:16" ht="15.75" customHeight="1" thickBot="1" x14ac:dyDescent="0.3">
      <c r="A84" s="37"/>
      <c r="B84" s="259"/>
      <c r="C84" s="247"/>
      <c r="D84" s="247"/>
      <c r="E84" s="247"/>
      <c r="F84" s="72"/>
      <c r="G84" s="247" t="str">
        <f t="shared" si="4"/>
        <v/>
      </c>
      <c r="H84" s="247"/>
      <c r="I84" s="247"/>
      <c r="J84" s="247"/>
      <c r="K84" s="79" t="str">
        <f t="shared" si="5"/>
        <v/>
      </c>
      <c r="L84" s="37"/>
      <c r="O84" s="10">
        <f>-I84</f>
        <v>0</v>
      </c>
      <c r="P84" s="10">
        <f>I84</f>
        <v>0</v>
      </c>
    </row>
    <row r="85" spans="1:16" ht="33" customHeight="1" x14ac:dyDescent="0.25">
      <c r="B85" s="312" t="s">
        <v>0</v>
      </c>
      <c r="C85" s="313"/>
      <c r="D85" s="314" t="s">
        <v>2</v>
      </c>
      <c r="E85" s="313"/>
      <c r="F85" s="71" t="s">
        <v>1</v>
      </c>
      <c r="G85" s="314" t="s">
        <v>3</v>
      </c>
      <c r="H85" s="313"/>
      <c r="I85" s="314" t="s">
        <v>5</v>
      </c>
      <c r="J85" s="313"/>
      <c r="K85" s="27" t="s">
        <v>4</v>
      </c>
      <c r="L85" s="37"/>
      <c r="O85" s="99" t="s">
        <v>58</v>
      </c>
      <c r="P85" s="99" t="s">
        <v>59</v>
      </c>
    </row>
    <row r="86" spans="1:16" ht="15.75" customHeight="1" x14ac:dyDescent="0.25">
      <c r="B86" s="300"/>
      <c r="C86" s="298"/>
      <c r="D86" s="297"/>
      <c r="E86" s="298"/>
      <c r="F86" s="72"/>
      <c r="G86" s="297" t="str">
        <f>IF(B86="","",B86-D86)</f>
        <v/>
      </c>
      <c r="H86" s="298"/>
      <c r="I86" s="297"/>
      <c r="J86" s="298"/>
      <c r="K86" s="79" t="str">
        <f>IF(G86="","",IF(AND(G86&gt;=-I86,G86&lt;=I86),"Pass","Fail"))</f>
        <v/>
      </c>
      <c r="L86" s="37"/>
      <c r="O86" s="10">
        <f>-I86</f>
        <v>0</v>
      </c>
      <c r="P86" s="10">
        <f>I86</f>
        <v>0</v>
      </c>
    </row>
    <row r="87" spans="1:16" ht="15.75" customHeight="1" x14ac:dyDescent="0.25">
      <c r="B87" s="300"/>
      <c r="C87" s="298"/>
      <c r="D87" s="297"/>
      <c r="E87" s="298"/>
      <c r="F87" s="72"/>
      <c r="G87" s="297" t="str">
        <f t="shared" ref="G87:G89" si="8">IF(B87="","",B87-D87)</f>
        <v/>
      </c>
      <c r="H87" s="298"/>
      <c r="I87" s="297"/>
      <c r="J87" s="298"/>
      <c r="K87" s="79" t="str">
        <f t="shared" ref="K87:K89" si="9">IF(G87="","",IF(AND(G87&gt;=-I87,G87&lt;=I87),"Pass","Fail"))</f>
        <v/>
      </c>
      <c r="L87" s="37"/>
      <c r="O87" s="10">
        <f t="shared" ref="O87:O89" si="10">-I87</f>
        <v>0</v>
      </c>
      <c r="P87" s="10">
        <f t="shared" ref="P87:P89" si="11">I87</f>
        <v>0</v>
      </c>
    </row>
    <row r="88" spans="1:16" ht="15.75" customHeight="1" x14ac:dyDescent="0.25">
      <c r="B88" s="300"/>
      <c r="C88" s="298"/>
      <c r="D88" s="297"/>
      <c r="E88" s="298"/>
      <c r="F88" s="72"/>
      <c r="G88" s="297" t="str">
        <f t="shared" si="8"/>
        <v/>
      </c>
      <c r="H88" s="298"/>
      <c r="I88" s="297"/>
      <c r="J88" s="298"/>
      <c r="K88" s="79" t="str">
        <f t="shared" si="9"/>
        <v/>
      </c>
      <c r="L88" s="37"/>
      <c r="O88" s="10">
        <f t="shared" si="10"/>
        <v>0</v>
      </c>
      <c r="P88" s="10">
        <f t="shared" si="11"/>
        <v>0</v>
      </c>
    </row>
    <row r="89" spans="1:16" ht="15.75" customHeight="1" x14ac:dyDescent="0.25">
      <c r="B89" s="300"/>
      <c r="C89" s="298"/>
      <c r="D89" s="297"/>
      <c r="E89" s="298"/>
      <c r="F89" s="72"/>
      <c r="G89" s="297" t="str">
        <f t="shared" si="8"/>
        <v/>
      </c>
      <c r="H89" s="298"/>
      <c r="I89" s="297"/>
      <c r="J89" s="298"/>
      <c r="K89" s="79" t="str">
        <f t="shared" si="9"/>
        <v/>
      </c>
      <c r="L89" s="37"/>
      <c r="O89" s="10">
        <f t="shared" si="10"/>
        <v>0</v>
      </c>
      <c r="P89" s="10">
        <f t="shared" si="11"/>
        <v>0</v>
      </c>
    </row>
    <row r="90" spans="1:16" ht="15.75" customHeight="1" x14ac:dyDescent="0.25">
      <c r="B90" s="300"/>
      <c r="C90" s="298"/>
      <c r="D90" s="297"/>
      <c r="E90" s="298"/>
      <c r="F90" s="72"/>
      <c r="G90" s="297" t="str">
        <f t="shared" ref="G90:G94" si="12">IF(B90="","",B90-D90)</f>
        <v/>
      </c>
      <c r="H90" s="298"/>
      <c r="I90" s="297"/>
      <c r="J90" s="298"/>
      <c r="K90" s="79" t="str">
        <f t="shared" ref="K90:K94" si="13">IF(G90="","",IF(AND(G90&gt;=-I90,G90&lt;=I90),"Pass","Fail"))</f>
        <v/>
      </c>
      <c r="L90" s="37"/>
      <c r="O90" s="10">
        <f>-I90</f>
        <v>0</v>
      </c>
      <c r="P90" s="10">
        <f>I90</f>
        <v>0</v>
      </c>
    </row>
    <row r="91" spans="1:16" ht="15.75" customHeight="1" x14ac:dyDescent="0.25">
      <c r="B91" s="300"/>
      <c r="C91" s="298"/>
      <c r="D91" s="297"/>
      <c r="E91" s="298"/>
      <c r="F91" s="72"/>
      <c r="G91" s="297" t="str">
        <f t="shared" si="12"/>
        <v/>
      </c>
      <c r="H91" s="298"/>
      <c r="I91" s="297"/>
      <c r="J91" s="298"/>
      <c r="K91" s="79" t="str">
        <f t="shared" si="13"/>
        <v/>
      </c>
      <c r="L91" s="37"/>
      <c r="O91" s="10">
        <f>-I91</f>
        <v>0</v>
      </c>
      <c r="P91" s="10">
        <f>I91</f>
        <v>0</v>
      </c>
    </row>
    <row r="92" spans="1:16" ht="15.75" customHeight="1" x14ac:dyDescent="0.25">
      <c r="B92" s="300"/>
      <c r="C92" s="298"/>
      <c r="D92" s="297"/>
      <c r="E92" s="298"/>
      <c r="F92" s="72"/>
      <c r="G92" s="297" t="str">
        <f t="shared" ref="G92" si="14">IF(B92="","",B92-D92)</f>
        <v/>
      </c>
      <c r="H92" s="298"/>
      <c r="I92" s="297"/>
      <c r="J92" s="298"/>
      <c r="K92" s="79" t="str">
        <f t="shared" ref="K92" si="15">IF(G92="","",IF(AND(G92&gt;=-I92,G92&lt;=I92),"Pass","Fail"))</f>
        <v/>
      </c>
      <c r="L92" s="37"/>
      <c r="O92" s="10">
        <f>-I92</f>
        <v>0</v>
      </c>
      <c r="P92" s="10">
        <f>I92</f>
        <v>0</v>
      </c>
    </row>
    <row r="93" spans="1:16" ht="15.75" customHeight="1" x14ac:dyDescent="0.25">
      <c r="B93" s="259"/>
      <c r="C93" s="247"/>
      <c r="D93" s="247"/>
      <c r="E93" s="247"/>
      <c r="F93" s="72"/>
      <c r="G93" s="247" t="str">
        <f t="shared" si="12"/>
        <v/>
      </c>
      <c r="H93" s="247"/>
      <c r="I93" s="247"/>
      <c r="J93" s="247"/>
      <c r="K93" s="79" t="str">
        <f t="shared" si="13"/>
        <v/>
      </c>
      <c r="L93" s="37"/>
      <c r="O93" s="10">
        <f>-I93</f>
        <v>0</v>
      </c>
      <c r="P93" s="10">
        <f>I93</f>
        <v>0</v>
      </c>
    </row>
    <row r="94" spans="1:16" ht="15.75" customHeight="1" thickBot="1" x14ac:dyDescent="0.3">
      <c r="B94" s="267"/>
      <c r="C94" s="266"/>
      <c r="D94" s="266"/>
      <c r="E94" s="266"/>
      <c r="F94" s="73"/>
      <c r="G94" s="266" t="str">
        <f t="shared" si="12"/>
        <v/>
      </c>
      <c r="H94" s="266"/>
      <c r="I94" s="266"/>
      <c r="J94" s="266"/>
      <c r="K94" s="80" t="str">
        <f t="shared" si="13"/>
        <v/>
      </c>
      <c r="L94" s="37"/>
      <c r="O94" s="10">
        <f>-I94</f>
        <v>0</v>
      </c>
      <c r="P94" s="10">
        <f>I94</f>
        <v>0</v>
      </c>
    </row>
    <row r="131" spans="1:12" ht="15.75" customHeight="1" x14ac:dyDescent="0.25">
      <c r="A131" s="391"/>
      <c r="B131" s="392"/>
      <c r="C131" s="392"/>
      <c r="D131" s="392"/>
      <c r="E131" s="392"/>
      <c r="F131" s="392"/>
      <c r="G131" s="392"/>
      <c r="H131" s="392"/>
      <c r="I131" s="392"/>
      <c r="J131" s="392"/>
      <c r="K131" s="392"/>
      <c r="L131" s="393"/>
    </row>
    <row r="132" spans="1:12" ht="15.75" customHeight="1" x14ac:dyDescent="0.25">
      <c r="A132" s="394"/>
      <c r="B132" s="395"/>
      <c r="C132" s="395"/>
      <c r="D132" s="395"/>
      <c r="E132" s="395"/>
      <c r="F132" s="395"/>
      <c r="G132" s="395"/>
      <c r="H132" s="395"/>
      <c r="I132" s="395"/>
      <c r="J132" s="395"/>
      <c r="K132" s="395"/>
      <c r="L132" s="396"/>
    </row>
    <row r="135" spans="1:12" ht="15.75" customHeight="1" x14ac:dyDescent="0.25">
      <c r="A135" s="289"/>
      <c r="B135" s="289"/>
      <c r="C135" s="289"/>
      <c r="D135" s="289"/>
      <c r="E135" s="290" t="s">
        <v>48</v>
      </c>
      <c r="F135" s="290"/>
      <c r="G135" s="290"/>
      <c r="H135" s="290"/>
      <c r="I135" s="290"/>
      <c r="J135" s="290"/>
      <c r="K135" s="290"/>
      <c r="L135" s="290"/>
    </row>
    <row r="136" spans="1:12" ht="15.75" customHeight="1" x14ac:dyDescent="0.25">
      <c r="A136" s="289"/>
      <c r="B136" s="289"/>
      <c r="C136" s="289"/>
      <c r="D136" s="289"/>
      <c r="E136" s="290"/>
      <c r="F136" s="290"/>
      <c r="G136" s="290"/>
      <c r="H136" s="290"/>
      <c r="I136" s="290"/>
      <c r="J136" s="290"/>
      <c r="K136" s="290"/>
      <c r="L136" s="290"/>
    </row>
    <row r="137" spans="1:12" ht="15.75" customHeight="1" x14ac:dyDescent="0.25">
      <c r="A137" s="289"/>
      <c r="B137" s="289"/>
      <c r="C137" s="289"/>
      <c r="D137" s="289"/>
      <c r="E137" s="290"/>
      <c r="F137" s="290"/>
      <c r="G137" s="290"/>
      <c r="H137" s="290"/>
      <c r="I137" s="290"/>
      <c r="J137" s="290"/>
      <c r="K137" s="290"/>
      <c r="L137" s="290"/>
    </row>
    <row r="138" spans="1:12" ht="15.75" customHeight="1" x14ac:dyDescent="0.25">
      <c r="A138" s="289"/>
      <c r="B138" s="289"/>
      <c r="C138" s="289"/>
      <c r="D138" s="289"/>
      <c r="E138" s="299" t="s">
        <v>51</v>
      </c>
      <c r="F138" s="299"/>
      <c r="G138" s="299"/>
      <c r="H138" s="299"/>
      <c r="I138" s="299"/>
      <c r="J138" s="299"/>
      <c r="K138" s="299"/>
      <c r="L138" s="299"/>
    </row>
    <row r="139" spans="1:12" ht="15.75" customHeight="1" x14ac:dyDescent="0.25">
      <c r="A139" s="289"/>
      <c r="B139" s="289"/>
      <c r="C139" s="289"/>
      <c r="D139" s="289"/>
      <c r="E139" s="299"/>
      <c r="F139" s="299"/>
      <c r="G139" s="299"/>
      <c r="H139" s="299"/>
      <c r="I139" s="299"/>
      <c r="J139" s="299"/>
      <c r="K139" s="299"/>
      <c r="L139" s="299"/>
    </row>
    <row r="140" spans="1:12" ht="15.75" customHeight="1" x14ac:dyDescent="0.25">
      <c r="A140" s="32"/>
      <c r="B140" s="32"/>
      <c r="C140" s="32"/>
      <c r="D140" s="32"/>
      <c r="E140" s="299"/>
      <c r="F140" s="299"/>
      <c r="G140" s="299"/>
      <c r="H140" s="299"/>
      <c r="I140" s="299"/>
      <c r="J140" s="299"/>
      <c r="K140" s="299"/>
      <c r="L140" s="299"/>
    </row>
    <row r="142" spans="1:12" ht="15.75" customHeight="1" thickBot="1" x14ac:dyDescent="0.3"/>
    <row r="143" spans="1:12" ht="15.75" customHeight="1" thickBot="1" x14ac:dyDescent="0.3">
      <c r="A143" s="37"/>
      <c r="B143" s="260" t="str">
        <f>IF(K32="","",IF(K32="Repaired","Calibration Data: As Left",""))</f>
        <v/>
      </c>
      <c r="C143" s="261"/>
      <c r="D143" s="261"/>
      <c r="E143" s="261"/>
      <c r="F143" s="261"/>
      <c r="G143" s="261"/>
      <c r="H143" s="261"/>
      <c r="I143" s="261"/>
      <c r="J143" s="261"/>
      <c r="K143" s="262"/>
      <c r="L143" s="37"/>
    </row>
    <row r="144" spans="1:12" ht="33" customHeight="1" x14ac:dyDescent="0.25">
      <c r="A144" s="37"/>
      <c r="B144" s="312" t="s">
        <v>0</v>
      </c>
      <c r="C144" s="313"/>
      <c r="D144" s="314" t="s">
        <v>2</v>
      </c>
      <c r="E144" s="313"/>
      <c r="F144" s="71" t="s">
        <v>1</v>
      </c>
      <c r="G144" s="314" t="s">
        <v>3</v>
      </c>
      <c r="H144" s="313"/>
      <c r="I144" s="314" t="s">
        <v>5</v>
      </c>
      <c r="J144" s="313"/>
      <c r="K144" s="27" t="s">
        <v>4</v>
      </c>
      <c r="L144" s="37"/>
    </row>
    <row r="145" spans="1:16" ht="15.75" customHeight="1" x14ac:dyDescent="0.25">
      <c r="A145" s="37"/>
      <c r="B145" s="300"/>
      <c r="C145" s="298"/>
      <c r="D145" s="297"/>
      <c r="E145" s="298"/>
      <c r="F145" s="72"/>
      <c r="G145" s="297" t="str">
        <f>IF(B145="","",B145-D145)</f>
        <v/>
      </c>
      <c r="H145" s="298"/>
      <c r="I145" s="297"/>
      <c r="J145" s="298"/>
      <c r="K145" s="79" t="str">
        <f>IF(G145="","",IF(AND(G145&gt;=-I145,G145&lt;=I145),"Pass","Fail"))</f>
        <v/>
      </c>
      <c r="L145" s="37"/>
      <c r="O145" s="10">
        <f>-I145</f>
        <v>0</v>
      </c>
      <c r="P145" s="10">
        <f>I145</f>
        <v>0</v>
      </c>
    </row>
    <row r="146" spans="1:16" ht="15.75" customHeight="1" x14ac:dyDescent="0.25">
      <c r="A146" s="37"/>
      <c r="B146" s="300"/>
      <c r="C146" s="298"/>
      <c r="D146" s="297"/>
      <c r="E146" s="298"/>
      <c r="F146" s="72"/>
      <c r="G146" s="297" t="str">
        <f t="shared" ref="G146:G148" si="16">IF(B146="","",B146-D146)</f>
        <v/>
      </c>
      <c r="H146" s="298"/>
      <c r="I146" s="297"/>
      <c r="J146" s="298"/>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300"/>
      <c r="C147" s="298"/>
      <c r="D147" s="297"/>
      <c r="E147" s="298"/>
      <c r="F147" s="72"/>
      <c r="G147" s="297" t="str">
        <f t="shared" si="16"/>
        <v/>
      </c>
      <c r="H147" s="298"/>
      <c r="I147" s="297"/>
      <c r="J147" s="298"/>
      <c r="K147" s="79" t="str">
        <f t="shared" si="17"/>
        <v/>
      </c>
      <c r="L147" s="37"/>
      <c r="O147" s="10">
        <f t="shared" si="18"/>
        <v>0</v>
      </c>
      <c r="P147" s="10">
        <f t="shared" si="19"/>
        <v>0</v>
      </c>
    </row>
    <row r="148" spans="1:16" ht="15.75" customHeight="1" x14ac:dyDescent="0.25">
      <c r="A148" s="37"/>
      <c r="B148" s="300"/>
      <c r="C148" s="298"/>
      <c r="D148" s="297"/>
      <c r="E148" s="298"/>
      <c r="F148" s="72"/>
      <c r="G148" s="297" t="str">
        <f t="shared" si="16"/>
        <v/>
      </c>
      <c r="H148" s="298"/>
      <c r="I148" s="297"/>
      <c r="J148" s="298"/>
      <c r="K148" s="79" t="str">
        <f t="shared" si="17"/>
        <v/>
      </c>
      <c r="L148" s="37"/>
      <c r="O148" s="10">
        <f t="shared" si="18"/>
        <v>0</v>
      </c>
      <c r="P148" s="10">
        <f t="shared" si="19"/>
        <v>0</v>
      </c>
    </row>
    <row r="149" spans="1:16" ht="15.75" customHeight="1" x14ac:dyDescent="0.25">
      <c r="A149" s="37"/>
      <c r="B149" s="300"/>
      <c r="C149" s="298"/>
      <c r="D149" s="297"/>
      <c r="E149" s="298"/>
      <c r="F149" s="72"/>
      <c r="G149" s="297" t="str">
        <f t="shared" ref="G149" si="20">IF(B149="","",B149-D149)</f>
        <v/>
      </c>
      <c r="H149" s="298"/>
      <c r="I149" s="297"/>
      <c r="J149" s="298"/>
      <c r="K149" s="79" t="str">
        <f t="shared" ref="K149" si="21">IF(G149="","",IF(AND(G149&gt;=-I149,G149&lt;=I149),"Pass","Fail"))</f>
        <v/>
      </c>
      <c r="L149" s="37"/>
      <c r="O149" s="10">
        <f t="shared" si="18"/>
        <v>0</v>
      </c>
      <c r="P149" s="10">
        <f t="shared" si="19"/>
        <v>0</v>
      </c>
    </row>
    <row r="150" spans="1:16" ht="15.75" customHeight="1" x14ac:dyDescent="0.25">
      <c r="A150" s="37"/>
      <c r="B150" s="300"/>
      <c r="C150" s="298"/>
      <c r="D150" s="297"/>
      <c r="E150" s="298"/>
      <c r="F150" s="72"/>
      <c r="G150" s="297" t="str">
        <f t="shared" ref="G150:G153" si="22">IF(B150="","",B150-D150)</f>
        <v/>
      </c>
      <c r="H150" s="298"/>
      <c r="I150" s="297"/>
      <c r="J150" s="298"/>
      <c r="K150" s="79" t="str">
        <f t="shared" ref="K150:K153" si="23">IF(G150="","",IF(AND(G150&gt;=-I150,G150&lt;=I150),"Pass","Fail"))</f>
        <v/>
      </c>
      <c r="L150" s="37"/>
      <c r="O150" s="10">
        <f>-I150</f>
        <v>0</v>
      </c>
      <c r="P150" s="10">
        <f>I150</f>
        <v>0</v>
      </c>
    </row>
    <row r="151" spans="1:16" ht="15.75" customHeight="1" x14ac:dyDescent="0.25">
      <c r="A151" s="37"/>
      <c r="B151" s="300"/>
      <c r="C151" s="298"/>
      <c r="D151" s="297"/>
      <c r="E151" s="298"/>
      <c r="F151" s="72"/>
      <c r="G151" s="297" t="str">
        <f t="shared" si="22"/>
        <v/>
      </c>
      <c r="H151" s="298"/>
      <c r="I151" s="297"/>
      <c r="J151" s="298"/>
      <c r="K151" s="79" t="str">
        <f t="shared" si="23"/>
        <v/>
      </c>
      <c r="L151" s="37"/>
      <c r="O151" s="10">
        <f>-I151</f>
        <v>0</v>
      </c>
      <c r="P151" s="10">
        <f>I151</f>
        <v>0</v>
      </c>
    </row>
    <row r="152" spans="1:16" ht="15.75" customHeight="1" x14ac:dyDescent="0.25">
      <c r="A152" s="37"/>
      <c r="B152" s="259"/>
      <c r="C152" s="247"/>
      <c r="D152" s="247"/>
      <c r="E152" s="247"/>
      <c r="F152" s="72"/>
      <c r="G152" s="247" t="str">
        <f t="shared" si="22"/>
        <v/>
      </c>
      <c r="H152" s="247"/>
      <c r="I152" s="247"/>
      <c r="J152" s="247"/>
      <c r="K152" s="79" t="str">
        <f t="shared" si="23"/>
        <v/>
      </c>
      <c r="L152" s="37"/>
      <c r="O152" s="10">
        <f>-I152</f>
        <v>0</v>
      </c>
      <c r="P152" s="10">
        <f>I152</f>
        <v>0</v>
      </c>
    </row>
    <row r="153" spans="1:16" ht="15.75" customHeight="1" thickBot="1" x14ac:dyDescent="0.3">
      <c r="A153" s="37"/>
      <c r="B153" s="259"/>
      <c r="C153" s="247"/>
      <c r="D153" s="247"/>
      <c r="E153" s="247"/>
      <c r="F153" s="72"/>
      <c r="G153" s="247" t="str">
        <f t="shared" si="22"/>
        <v/>
      </c>
      <c r="H153" s="247"/>
      <c r="I153" s="247"/>
      <c r="J153" s="247"/>
      <c r="K153" s="79" t="str">
        <f t="shared" si="23"/>
        <v/>
      </c>
      <c r="L153" s="37"/>
      <c r="O153" s="10">
        <f>-I153</f>
        <v>0</v>
      </c>
      <c r="P153" s="10">
        <f>I153</f>
        <v>0</v>
      </c>
    </row>
    <row r="154" spans="1:16" ht="33" customHeight="1" x14ac:dyDescent="0.25">
      <c r="B154" s="312" t="s">
        <v>0</v>
      </c>
      <c r="C154" s="313"/>
      <c r="D154" s="314" t="s">
        <v>2</v>
      </c>
      <c r="E154" s="313"/>
      <c r="F154" s="71" t="s">
        <v>1</v>
      </c>
      <c r="G154" s="314" t="s">
        <v>3</v>
      </c>
      <c r="H154" s="313"/>
      <c r="I154" s="314" t="s">
        <v>5</v>
      </c>
      <c r="J154" s="313"/>
      <c r="K154" s="27" t="s">
        <v>4</v>
      </c>
      <c r="L154" s="37"/>
    </row>
    <row r="155" spans="1:16" ht="15.75" customHeight="1" x14ac:dyDescent="0.25">
      <c r="B155" s="300"/>
      <c r="C155" s="298"/>
      <c r="D155" s="297"/>
      <c r="E155" s="298"/>
      <c r="F155" s="72"/>
      <c r="G155" s="297" t="str">
        <f>IF(B155="","",B155-D155)</f>
        <v/>
      </c>
      <c r="H155" s="298"/>
      <c r="I155" s="297"/>
      <c r="J155" s="298"/>
      <c r="K155" s="79" t="str">
        <f>IF(G155="","",IF(AND(G155&gt;=-I155,G155&lt;=I155),"Pass","Fail"))</f>
        <v/>
      </c>
      <c r="L155" s="37"/>
      <c r="O155" s="10">
        <f>-I155</f>
        <v>0</v>
      </c>
      <c r="P155" s="10">
        <f>I155</f>
        <v>0</v>
      </c>
    </row>
    <row r="156" spans="1:16" ht="15.75" customHeight="1" x14ac:dyDescent="0.25">
      <c r="B156" s="300"/>
      <c r="C156" s="298"/>
      <c r="D156" s="297"/>
      <c r="E156" s="298"/>
      <c r="F156" s="72"/>
      <c r="G156" s="297" t="str">
        <f t="shared" ref="G156:G159" si="24">IF(B156="","",B156-D156)</f>
        <v/>
      </c>
      <c r="H156" s="298"/>
      <c r="I156" s="297"/>
      <c r="J156" s="298"/>
      <c r="K156" s="79" t="str">
        <f t="shared" ref="K156:K159" si="25">IF(G156="","",IF(AND(G156&gt;=-I156,G156&lt;=I156),"Pass","Fail"))</f>
        <v/>
      </c>
      <c r="L156" s="37"/>
      <c r="O156" s="10">
        <f t="shared" ref="O156:O159" si="26">-I156</f>
        <v>0</v>
      </c>
      <c r="P156" s="10">
        <f t="shared" ref="P156:P159" si="27">I156</f>
        <v>0</v>
      </c>
    </row>
    <row r="157" spans="1:16" ht="15.75" customHeight="1" x14ac:dyDescent="0.25">
      <c r="B157" s="300"/>
      <c r="C157" s="298"/>
      <c r="D157" s="297"/>
      <c r="E157" s="298"/>
      <c r="F157" s="72"/>
      <c r="G157" s="297" t="str">
        <f t="shared" si="24"/>
        <v/>
      </c>
      <c r="H157" s="298"/>
      <c r="I157" s="297"/>
      <c r="J157" s="298"/>
      <c r="K157" s="79" t="str">
        <f t="shared" si="25"/>
        <v/>
      </c>
      <c r="L157" s="37"/>
      <c r="O157" s="10">
        <f t="shared" si="26"/>
        <v>0</v>
      </c>
      <c r="P157" s="10">
        <f t="shared" si="27"/>
        <v>0</v>
      </c>
    </row>
    <row r="158" spans="1:16" ht="15.75" customHeight="1" x14ac:dyDescent="0.25">
      <c r="B158" s="300"/>
      <c r="C158" s="298"/>
      <c r="D158" s="297"/>
      <c r="E158" s="298"/>
      <c r="F158" s="72"/>
      <c r="G158" s="297" t="str">
        <f t="shared" si="24"/>
        <v/>
      </c>
      <c r="H158" s="298"/>
      <c r="I158" s="297"/>
      <c r="J158" s="298"/>
      <c r="K158" s="79" t="str">
        <f t="shared" si="25"/>
        <v/>
      </c>
      <c r="L158" s="37"/>
      <c r="O158" s="10">
        <f t="shared" si="26"/>
        <v>0</v>
      </c>
      <c r="P158" s="10">
        <f t="shared" si="27"/>
        <v>0</v>
      </c>
    </row>
    <row r="159" spans="1:16" ht="15.75" customHeight="1" x14ac:dyDescent="0.25">
      <c r="B159" s="300"/>
      <c r="C159" s="298"/>
      <c r="D159" s="297"/>
      <c r="E159" s="298"/>
      <c r="F159" s="72"/>
      <c r="G159" s="297" t="str">
        <f t="shared" si="24"/>
        <v/>
      </c>
      <c r="H159" s="298"/>
      <c r="I159" s="297"/>
      <c r="J159" s="298"/>
      <c r="K159" s="79" t="str">
        <f t="shared" si="25"/>
        <v/>
      </c>
      <c r="L159" s="37"/>
      <c r="O159" s="10">
        <f t="shared" si="26"/>
        <v>0</v>
      </c>
      <c r="P159" s="10">
        <f t="shared" si="27"/>
        <v>0</v>
      </c>
    </row>
    <row r="160" spans="1:16" ht="15.75" customHeight="1" x14ac:dyDescent="0.25">
      <c r="B160" s="300"/>
      <c r="C160" s="298"/>
      <c r="D160" s="297"/>
      <c r="E160" s="298"/>
      <c r="F160" s="72"/>
      <c r="G160" s="297" t="str">
        <f t="shared" ref="G160:G163" si="28">IF(B160="","",B160-D160)</f>
        <v/>
      </c>
      <c r="H160" s="298"/>
      <c r="I160" s="297"/>
      <c r="J160" s="298"/>
      <c r="K160" s="79" t="str">
        <f t="shared" ref="K160:K163" si="29">IF(G160="","",IF(AND(G160&gt;=-I160,G160&lt;=I160),"Pass","Fail"))</f>
        <v/>
      </c>
      <c r="L160" s="37"/>
      <c r="O160" s="10">
        <f>-I160</f>
        <v>0</v>
      </c>
      <c r="P160" s="10">
        <f>I160</f>
        <v>0</v>
      </c>
    </row>
    <row r="161" spans="1:16" ht="15.75" customHeight="1" x14ac:dyDescent="0.25">
      <c r="B161" s="300"/>
      <c r="C161" s="298"/>
      <c r="D161" s="297"/>
      <c r="E161" s="298"/>
      <c r="F161" s="72"/>
      <c r="G161" s="297" t="str">
        <f t="shared" si="28"/>
        <v/>
      </c>
      <c r="H161" s="298"/>
      <c r="I161" s="297"/>
      <c r="J161" s="298"/>
      <c r="K161" s="79" t="str">
        <f t="shared" si="29"/>
        <v/>
      </c>
      <c r="L161" s="37"/>
      <c r="O161" s="10">
        <f>-I161</f>
        <v>0</v>
      </c>
      <c r="P161" s="10">
        <f>I161</f>
        <v>0</v>
      </c>
    </row>
    <row r="162" spans="1:16" ht="15.75" customHeight="1" x14ac:dyDescent="0.25">
      <c r="B162" s="259"/>
      <c r="C162" s="247"/>
      <c r="D162" s="247"/>
      <c r="E162" s="247"/>
      <c r="F162" s="72"/>
      <c r="G162" s="247" t="str">
        <f t="shared" si="28"/>
        <v/>
      </c>
      <c r="H162" s="247"/>
      <c r="I162" s="247"/>
      <c r="J162" s="247"/>
      <c r="K162" s="79" t="str">
        <f t="shared" si="29"/>
        <v/>
      </c>
      <c r="L162" s="37"/>
      <c r="O162" s="10">
        <f>-I162</f>
        <v>0</v>
      </c>
      <c r="P162" s="10">
        <f>I162</f>
        <v>0</v>
      </c>
    </row>
    <row r="163" spans="1:16" ht="15.75" customHeight="1" thickBot="1" x14ac:dyDescent="0.3">
      <c r="B163" s="267"/>
      <c r="C163" s="266"/>
      <c r="D163" s="266"/>
      <c r="E163" s="266"/>
      <c r="F163" s="73"/>
      <c r="G163" s="266" t="str">
        <f t="shared" si="28"/>
        <v/>
      </c>
      <c r="H163" s="266"/>
      <c r="I163" s="266"/>
      <c r="J163" s="266"/>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 ref="E138:L140"/>
    <mergeCell ref="B146:C146"/>
    <mergeCell ref="D146:E146"/>
    <mergeCell ref="G146:H146"/>
    <mergeCell ref="I146:J146"/>
    <mergeCell ref="B147:C147"/>
    <mergeCell ref="D147:E147"/>
    <mergeCell ref="G147:H147"/>
    <mergeCell ref="I147:J147"/>
    <mergeCell ref="A135:D139"/>
    <mergeCell ref="E135:L137"/>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B80:C80"/>
    <mergeCell ref="D80:E80"/>
    <mergeCell ref="G80:H80"/>
    <mergeCell ref="B90:C90"/>
    <mergeCell ref="D90:E90"/>
    <mergeCell ref="G90:H90"/>
    <mergeCell ref="I90:J90"/>
    <mergeCell ref="G89:H89"/>
    <mergeCell ref="I89:J89"/>
    <mergeCell ref="I86:J86"/>
    <mergeCell ref="A131:L132"/>
    <mergeCell ref="B82:C82"/>
    <mergeCell ref="D82:E82"/>
    <mergeCell ref="G82:H82"/>
    <mergeCell ref="I82:J82"/>
    <mergeCell ref="B83:C83"/>
    <mergeCell ref="D83:E83"/>
    <mergeCell ref="G83:H83"/>
    <mergeCell ref="I83:J83"/>
    <mergeCell ref="B84:C84"/>
    <mergeCell ref="D84:E84"/>
    <mergeCell ref="G84:H84"/>
    <mergeCell ref="I84:J84"/>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I28:J28"/>
    <mergeCell ref="K28:L28"/>
    <mergeCell ref="A31:L31"/>
    <mergeCell ref="A26:D26"/>
    <mergeCell ref="E26:F26"/>
    <mergeCell ref="G26:H26"/>
    <mergeCell ref="I26:J26"/>
    <mergeCell ref="K26:L26"/>
    <mergeCell ref="A27:D27"/>
    <mergeCell ref="E27:F27"/>
    <mergeCell ref="G27:H27"/>
    <mergeCell ref="I27:J27"/>
    <mergeCell ref="K27:L27"/>
    <mergeCell ref="A1:D5"/>
    <mergeCell ref="E1:L3"/>
    <mergeCell ref="E4:L6"/>
    <mergeCell ref="A9:F9"/>
    <mergeCell ref="G9:L9"/>
    <mergeCell ref="A10:B10"/>
    <mergeCell ref="C10:F10"/>
    <mergeCell ref="G10:H10"/>
    <mergeCell ref="I10:L10"/>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s>
  <conditionalFormatting sqref="K76 K80:K84 K86:K94 K155:K163 K145:K153">
    <cfRule type="containsText" dxfId="37" priority="5" operator="containsText" text="Fail">
      <formula>NOT(ISERROR(SEARCH("Fail",K76)))</formula>
    </cfRule>
    <cfRule type="containsText" dxfId="36" priority="6" operator="containsText" text="Pass">
      <formula>NOT(ISERROR(SEARCH("Pass",K76)))</formula>
    </cfRule>
  </conditionalFormatting>
  <conditionalFormatting sqref="K77:K79">
    <cfRule type="containsText" dxfId="35" priority="1" operator="containsText" text="Fail">
      <formula>NOT(ISERROR(SEARCH("Fail",K77)))</formula>
    </cfRule>
    <cfRule type="containsText" dxfId="34"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3">
      <c r="A1" s="260" t="s">
        <v>28</v>
      </c>
      <c r="B1" s="261"/>
      <c r="C1" s="261"/>
      <c r="D1" s="261"/>
      <c r="E1" s="261"/>
      <c r="F1" s="262"/>
      <c r="G1" s="260" t="s">
        <v>29</v>
      </c>
      <c r="H1" s="261"/>
      <c r="I1" s="261"/>
      <c r="J1" s="261"/>
      <c r="K1" s="261"/>
      <c r="L1" s="262"/>
      <c r="M1" s="9"/>
    </row>
    <row r="2" spans="1:13" ht="18.75" customHeight="1" x14ac:dyDescent="0.25">
      <c r="A2" s="272" t="s">
        <v>31</v>
      </c>
      <c r="B2" s="270"/>
      <c r="C2" s="283"/>
      <c r="D2" s="283"/>
      <c r="E2" s="283"/>
      <c r="F2" s="284"/>
      <c r="G2" s="272" t="s">
        <v>36</v>
      </c>
      <c r="H2" s="270"/>
      <c r="I2" s="275"/>
      <c r="J2" s="275"/>
      <c r="K2" s="275"/>
      <c r="L2" s="276"/>
      <c r="M2" s="9"/>
    </row>
    <row r="3" spans="1:13" ht="18.75" customHeight="1" x14ac:dyDescent="0.25">
      <c r="A3" s="245" t="s">
        <v>32</v>
      </c>
      <c r="B3" s="246"/>
      <c r="C3" s="247"/>
      <c r="D3" s="247"/>
      <c r="E3" s="247"/>
      <c r="F3" s="269"/>
      <c r="G3" s="245" t="s">
        <v>37</v>
      </c>
      <c r="H3" s="246"/>
      <c r="I3" s="247"/>
      <c r="J3" s="247"/>
      <c r="K3" s="247"/>
      <c r="L3" s="269"/>
      <c r="M3" s="9"/>
    </row>
    <row r="4" spans="1:13" ht="18.75" customHeight="1" x14ac:dyDescent="0.25">
      <c r="A4" s="245"/>
      <c r="B4" s="246"/>
      <c r="C4" s="247"/>
      <c r="D4" s="247"/>
      <c r="E4" s="247"/>
      <c r="F4" s="269"/>
      <c r="G4" s="245" t="s">
        <v>38</v>
      </c>
      <c r="H4" s="246"/>
      <c r="I4" s="247"/>
      <c r="J4" s="247"/>
      <c r="K4" s="247"/>
      <c r="L4" s="269"/>
      <c r="M4" s="9"/>
    </row>
    <row r="5" spans="1:13" ht="18.75" customHeight="1" x14ac:dyDescent="0.25">
      <c r="A5" s="245"/>
      <c r="B5" s="246"/>
      <c r="C5" s="247"/>
      <c r="D5" s="247"/>
      <c r="E5" s="247"/>
      <c r="F5" s="269"/>
      <c r="G5" s="245" t="s">
        <v>39</v>
      </c>
      <c r="H5" s="246"/>
      <c r="I5" s="247" t="s">
        <v>50</v>
      </c>
      <c r="J5" s="247"/>
      <c r="K5" s="247"/>
      <c r="L5" s="269"/>
      <c r="M5" s="9"/>
    </row>
    <row r="6" spans="1:13" ht="18.75" customHeight="1" x14ac:dyDescent="0.25">
      <c r="A6" s="245"/>
      <c r="B6" s="246"/>
      <c r="C6" s="247"/>
      <c r="D6" s="247"/>
      <c r="E6" s="247"/>
      <c r="F6" s="269"/>
      <c r="G6" s="245" t="s">
        <v>34</v>
      </c>
      <c r="H6" s="246"/>
      <c r="I6" s="279"/>
      <c r="J6" s="279"/>
      <c r="K6" s="279"/>
      <c r="L6" s="280"/>
      <c r="M6" s="9"/>
    </row>
    <row r="7" spans="1:13" ht="18.75" customHeight="1" thickBot="1" x14ac:dyDescent="0.3">
      <c r="A7" s="277" t="s">
        <v>33</v>
      </c>
      <c r="B7" s="278"/>
      <c r="C7" s="266"/>
      <c r="D7" s="266"/>
      <c r="E7" s="266"/>
      <c r="F7" s="268"/>
      <c r="G7" s="277" t="s">
        <v>35</v>
      </c>
      <c r="H7" s="278"/>
      <c r="I7" s="281"/>
      <c r="J7" s="281"/>
      <c r="K7" s="281"/>
      <c r="L7" s="282"/>
      <c r="M7" s="9"/>
    </row>
    <row r="8" spans="1:13" ht="16.5" customHeight="1" x14ac:dyDescent="0.25">
      <c r="A8" s="9"/>
      <c r="B8" s="9"/>
      <c r="C8" s="9"/>
      <c r="D8" s="9"/>
      <c r="E8" s="9"/>
      <c r="F8" s="9"/>
      <c r="G8" s="9"/>
      <c r="H8" s="9"/>
      <c r="I8" s="9"/>
      <c r="J8" s="9"/>
      <c r="K8" s="9"/>
      <c r="L8" s="9"/>
      <c r="M8" s="11"/>
    </row>
    <row r="9" spans="1:13" ht="21" customHeight="1" x14ac:dyDescent="0.25">
      <c r="A9" s="285" t="s">
        <v>52</v>
      </c>
      <c r="B9" s="285"/>
      <c r="C9" s="285"/>
      <c r="D9" s="285"/>
      <c r="E9" s="285"/>
      <c r="F9" s="285"/>
      <c r="G9" s="285"/>
      <c r="H9" s="285"/>
      <c r="I9" s="285"/>
      <c r="J9" s="285"/>
      <c r="K9" s="285"/>
      <c r="L9" s="285"/>
      <c r="M9" s="11"/>
    </row>
    <row r="10" spans="1:13" ht="21" customHeight="1" x14ac:dyDescent="0.25">
      <c r="A10" s="285"/>
      <c r="B10" s="285"/>
      <c r="C10" s="285"/>
      <c r="D10" s="285"/>
      <c r="E10" s="285"/>
      <c r="F10" s="285"/>
      <c r="G10" s="285"/>
      <c r="H10" s="285"/>
      <c r="I10" s="285"/>
      <c r="J10" s="285"/>
      <c r="K10" s="285"/>
      <c r="L10" s="285"/>
      <c r="M10" s="11"/>
    </row>
    <row r="11" spans="1:13" ht="16.5" customHeight="1" thickBot="1" x14ac:dyDescent="0.3">
      <c r="A11" s="9"/>
      <c r="B11" s="9"/>
      <c r="C11" s="9"/>
      <c r="D11" s="9"/>
      <c r="E11" s="9"/>
      <c r="F11" s="9"/>
      <c r="G11" s="9"/>
      <c r="H11" s="9"/>
      <c r="I11" s="9"/>
      <c r="J11" s="9"/>
      <c r="K11" s="9"/>
      <c r="L11" s="9"/>
      <c r="M11" s="11"/>
    </row>
    <row r="12" spans="1:13" ht="16.5" customHeight="1" thickBot="1" x14ac:dyDescent="0.3">
      <c r="A12" s="260" t="s">
        <v>20</v>
      </c>
      <c r="B12" s="261"/>
      <c r="C12" s="261"/>
      <c r="D12" s="261"/>
      <c r="E12" s="261"/>
      <c r="F12" s="261"/>
      <c r="G12" s="261"/>
      <c r="H12" s="261"/>
      <c r="I12" s="261"/>
      <c r="J12" s="261"/>
      <c r="K12" s="261"/>
      <c r="L12" s="262"/>
      <c r="M12" s="9"/>
    </row>
    <row r="13" spans="1:13" ht="16.5" customHeight="1" x14ac:dyDescent="0.25">
      <c r="A13" s="272" t="s">
        <v>23</v>
      </c>
      <c r="B13" s="270"/>
      <c r="C13" s="270"/>
      <c r="D13" s="270"/>
      <c r="E13" s="270" t="s">
        <v>22</v>
      </c>
      <c r="F13" s="270"/>
      <c r="G13" s="270" t="s">
        <v>21</v>
      </c>
      <c r="H13" s="270"/>
      <c r="I13" s="270" t="s">
        <v>53</v>
      </c>
      <c r="J13" s="270"/>
      <c r="K13" s="270" t="s">
        <v>54</v>
      </c>
      <c r="L13" s="271"/>
      <c r="M13" s="9"/>
    </row>
    <row r="14" spans="1:13" ht="16.5" customHeight="1" x14ac:dyDescent="0.25">
      <c r="A14" s="259"/>
      <c r="B14" s="247"/>
      <c r="C14" s="247"/>
      <c r="D14" s="247"/>
      <c r="E14" s="247"/>
      <c r="F14" s="247"/>
      <c r="G14" s="247"/>
      <c r="H14" s="247"/>
      <c r="I14" s="247"/>
      <c r="J14" s="247"/>
      <c r="K14" s="247"/>
      <c r="L14" s="269"/>
      <c r="M14" s="9"/>
    </row>
    <row r="15" spans="1:13" ht="16.5" customHeight="1" x14ac:dyDescent="0.25">
      <c r="A15" s="259"/>
      <c r="B15" s="247"/>
      <c r="C15" s="247"/>
      <c r="D15" s="247"/>
      <c r="E15" s="247"/>
      <c r="F15" s="247"/>
      <c r="G15" s="247"/>
      <c r="H15" s="247"/>
      <c r="I15" s="247"/>
      <c r="J15" s="247"/>
      <c r="K15" s="247"/>
      <c r="L15" s="269"/>
      <c r="M15" s="9"/>
    </row>
    <row r="16" spans="1:13" ht="16.5" customHeight="1" x14ac:dyDescent="0.25">
      <c r="A16" s="259"/>
      <c r="B16" s="247"/>
      <c r="C16" s="247"/>
      <c r="D16" s="247"/>
      <c r="E16" s="247"/>
      <c r="F16" s="247"/>
      <c r="G16" s="247"/>
      <c r="H16" s="247"/>
      <c r="I16" s="247"/>
      <c r="J16" s="247"/>
      <c r="K16" s="247"/>
      <c r="L16" s="269"/>
      <c r="M16" s="9"/>
    </row>
    <row r="17" spans="1:13" ht="16.5" customHeight="1" x14ac:dyDescent="0.25">
      <c r="A17" s="259"/>
      <c r="B17" s="247"/>
      <c r="C17" s="247"/>
      <c r="D17" s="247"/>
      <c r="E17" s="247"/>
      <c r="F17" s="247"/>
      <c r="G17" s="247"/>
      <c r="H17" s="247"/>
      <c r="I17" s="247"/>
      <c r="J17" s="247"/>
      <c r="K17" s="247"/>
      <c r="L17" s="269"/>
      <c r="M17" s="9"/>
    </row>
    <row r="18" spans="1:13" ht="16.5" customHeight="1" thickBot="1" x14ac:dyDescent="0.3">
      <c r="A18" s="267"/>
      <c r="B18" s="266"/>
      <c r="C18" s="266"/>
      <c r="D18" s="266"/>
      <c r="E18" s="266"/>
      <c r="F18" s="266"/>
      <c r="G18" s="266"/>
      <c r="H18" s="266"/>
      <c r="I18" s="266"/>
      <c r="J18" s="266"/>
      <c r="K18" s="266"/>
      <c r="L18" s="268"/>
      <c r="M18" s="9"/>
    </row>
    <row r="19" spans="1:13" ht="16.5" customHeight="1" thickBot="1" x14ac:dyDescent="0.3">
      <c r="A19" s="9"/>
      <c r="B19" s="9"/>
      <c r="C19" s="9"/>
      <c r="D19" s="9"/>
      <c r="E19" s="9"/>
      <c r="F19" s="9"/>
      <c r="G19" s="9"/>
      <c r="H19" s="9"/>
      <c r="I19" s="9"/>
      <c r="J19" s="9"/>
      <c r="K19" s="9"/>
      <c r="L19" s="9"/>
      <c r="M19" s="11"/>
    </row>
    <row r="20" spans="1:13" ht="16.5" customHeight="1" thickBot="1" x14ac:dyDescent="0.3">
      <c r="A20" s="260" t="s">
        <v>13</v>
      </c>
      <c r="B20" s="261"/>
      <c r="C20" s="261"/>
      <c r="D20" s="261"/>
      <c r="E20" s="261"/>
      <c r="F20" s="261"/>
      <c r="G20" s="261"/>
      <c r="H20" s="261"/>
      <c r="I20" s="261"/>
      <c r="J20" s="261"/>
      <c r="K20" s="261"/>
      <c r="L20" s="262"/>
      <c r="M20" s="9"/>
    </row>
    <row r="21" spans="1:13" ht="16.5" customHeight="1" x14ac:dyDescent="0.25">
      <c r="A21" s="272" t="s">
        <v>30</v>
      </c>
      <c r="B21" s="270"/>
      <c r="C21" s="283"/>
      <c r="D21" s="283"/>
      <c r="E21" s="283"/>
      <c r="F21" s="283"/>
      <c r="G21" s="283"/>
      <c r="H21" s="283"/>
      <c r="I21" s="270" t="s">
        <v>25</v>
      </c>
      <c r="J21" s="270"/>
      <c r="K21" s="283"/>
      <c r="L21" s="284"/>
      <c r="M21" s="9"/>
    </row>
    <row r="22" spans="1:13" ht="16.5" customHeight="1" x14ac:dyDescent="0.25">
      <c r="A22" s="245" t="s">
        <v>15</v>
      </c>
      <c r="B22" s="246"/>
      <c r="C22" s="247"/>
      <c r="D22" s="247"/>
      <c r="E22" s="246" t="s">
        <v>16</v>
      </c>
      <c r="F22" s="246"/>
      <c r="G22" s="247"/>
      <c r="H22" s="247"/>
      <c r="I22" s="246" t="s">
        <v>18</v>
      </c>
      <c r="J22" s="246"/>
      <c r="K22" s="247"/>
      <c r="L22" s="269"/>
      <c r="M22" s="9"/>
    </row>
    <row r="23" spans="1:13" ht="16.5" customHeight="1" x14ac:dyDescent="0.25">
      <c r="A23" s="245" t="s">
        <v>14</v>
      </c>
      <c r="B23" s="246"/>
      <c r="C23" s="247"/>
      <c r="D23" s="247"/>
      <c r="E23" s="246" t="s">
        <v>42</v>
      </c>
      <c r="F23" s="246"/>
      <c r="G23" s="247"/>
      <c r="H23" s="247"/>
      <c r="I23" s="246" t="s">
        <v>43</v>
      </c>
      <c r="J23" s="246"/>
      <c r="K23" s="247"/>
      <c r="L23" s="269"/>
      <c r="M23" s="9"/>
    </row>
    <row r="24" spans="1:13" ht="16.5" customHeight="1" x14ac:dyDescent="0.25">
      <c r="A24" s="245" t="s">
        <v>17</v>
      </c>
      <c r="B24" s="246"/>
      <c r="C24" s="247"/>
      <c r="D24" s="247"/>
      <c r="E24" s="246" t="s">
        <v>26</v>
      </c>
      <c r="F24" s="246"/>
      <c r="G24" s="247"/>
      <c r="H24" s="247"/>
      <c r="I24" s="246" t="s">
        <v>27</v>
      </c>
      <c r="J24" s="246"/>
      <c r="K24" s="247"/>
      <c r="L24" s="269"/>
      <c r="M24" s="9"/>
    </row>
    <row r="25" spans="1:13" ht="33.75" customHeight="1" x14ac:dyDescent="0.25">
      <c r="A25" s="245" t="s">
        <v>19</v>
      </c>
      <c r="B25" s="246"/>
      <c r="C25" s="247"/>
      <c r="D25" s="247"/>
      <c r="E25" s="247"/>
      <c r="F25" s="247"/>
      <c r="G25" s="247"/>
      <c r="H25" s="247"/>
      <c r="I25" s="247"/>
      <c r="J25" s="247"/>
      <c r="K25" s="247"/>
      <c r="L25" s="269"/>
      <c r="M25" s="9"/>
    </row>
    <row r="26" spans="1:13" ht="16.5" customHeight="1" x14ac:dyDescent="0.25">
      <c r="A26" s="397"/>
      <c r="B26" s="398"/>
      <c r="C26" s="398"/>
      <c r="D26" s="399"/>
      <c r="E26" s="246" t="s">
        <v>55</v>
      </c>
      <c r="F26" s="246"/>
      <c r="G26" s="247"/>
      <c r="H26" s="247"/>
      <c r="I26" s="246" t="s">
        <v>43</v>
      </c>
      <c r="J26" s="246"/>
      <c r="K26" s="247"/>
      <c r="L26" s="269"/>
      <c r="M26" s="9"/>
    </row>
    <row r="27" spans="1:13" ht="16.5" customHeight="1" x14ac:dyDescent="0.25">
      <c r="A27" s="245" t="s">
        <v>17</v>
      </c>
      <c r="B27" s="246"/>
      <c r="C27" s="247"/>
      <c r="D27" s="247"/>
      <c r="E27" s="246" t="s">
        <v>26</v>
      </c>
      <c r="F27" s="246"/>
      <c r="G27" s="247"/>
      <c r="H27" s="247"/>
      <c r="I27" s="246" t="s">
        <v>27</v>
      </c>
      <c r="J27" s="246"/>
      <c r="K27" s="247"/>
      <c r="L27" s="269"/>
      <c r="M27" s="9"/>
    </row>
    <row r="28" spans="1:13" ht="33.75" customHeight="1" thickBot="1" x14ac:dyDescent="0.3">
      <c r="A28" s="277" t="s">
        <v>19</v>
      </c>
      <c r="B28" s="278"/>
      <c r="C28" s="266"/>
      <c r="D28" s="266"/>
      <c r="E28" s="266"/>
      <c r="F28" s="266"/>
      <c r="G28" s="266"/>
      <c r="H28" s="266"/>
      <c r="I28" s="266"/>
      <c r="J28" s="266"/>
      <c r="K28" s="266"/>
      <c r="L28" s="268"/>
      <c r="M28" s="9"/>
    </row>
    <row r="29" spans="1:13" ht="16.5" customHeight="1" thickBot="1" x14ac:dyDescent="0.3">
      <c r="A29" s="15"/>
      <c r="B29" s="15"/>
      <c r="C29" s="15"/>
      <c r="D29" s="15"/>
      <c r="E29" s="15"/>
      <c r="F29" s="15"/>
      <c r="G29" s="15"/>
      <c r="H29" s="15"/>
      <c r="I29" s="15"/>
      <c r="J29" s="15"/>
      <c r="K29" s="15"/>
      <c r="L29" s="15"/>
      <c r="M29" s="11"/>
    </row>
    <row r="30" spans="1:13" ht="21" customHeight="1" thickBot="1" x14ac:dyDescent="0.3">
      <c r="A30" s="260" t="s">
        <v>7</v>
      </c>
      <c r="B30" s="261"/>
      <c r="C30" s="261"/>
      <c r="D30" s="261"/>
      <c r="E30" s="261"/>
      <c r="F30" s="261"/>
      <c r="G30" s="261"/>
      <c r="H30" s="261"/>
      <c r="I30" s="261"/>
      <c r="J30" s="261"/>
      <c r="K30" s="261"/>
      <c r="L30" s="262"/>
      <c r="M30" s="9"/>
    </row>
    <row r="31" spans="1:13" ht="21" customHeight="1" thickBot="1" x14ac:dyDescent="0.3">
      <c r="A31" s="263" t="s">
        <v>8</v>
      </c>
      <c r="B31" s="264"/>
      <c r="C31" s="24"/>
      <c r="D31" s="264" t="s">
        <v>9</v>
      </c>
      <c r="E31" s="264"/>
      <c r="F31" s="24"/>
      <c r="G31" s="264" t="s">
        <v>10</v>
      </c>
      <c r="H31" s="264"/>
      <c r="I31" s="24"/>
      <c r="J31" s="264" t="s">
        <v>11</v>
      </c>
      <c r="K31" s="264"/>
      <c r="L31" s="25"/>
      <c r="M31" s="9"/>
    </row>
    <row r="32" spans="1:13" ht="16.5" customHeight="1" thickBot="1" x14ac:dyDescent="0.3">
      <c r="A32" s="9"/>
      <c r="B32" s="9"/>
      <c r="C32" s="9"/>
      <c r="D32" s="9"/>
      <c r="E32" s="9"/>
      <c r="F32" s="9"/>
      <c r="G32" s="9"/>
      <c r="H32" s="9"/>
      <c r="I32" s="9"/>
      <c r="J32" s="9"/>
      <c r="K32" s="9"/>
      <c r="L32" s="9"/>
      <c r="M32" s="11"/>
    </row>
    <row r="33" spans="1:13" ht="19.5" customHeight="1" thickBot="1" x14ac:dyDescent="0.3">
      <c r="A33" s="260" t="s">
        <v>44</v>
      </c>
      <c r="B33" s="261"/>
      <c r="C33" s="261"/>
      <c r="D33" s="261"/>
      <c r="E33" s="261"/>
      <c r="F33" s="261"/>
      <c r="G33" s="261"/>
      <c r="H33" s="261"/>
      <c r="I33" s="261"/>
      <c r="J33" s="261"/>
      <c r="K33" s="261"/>
      <c r="L33" s="262"/>
      <c r="M33" s="9"/>
    </row>
    <row r="34" spans="1:13" ht="36.75" customHeight="1" x14ac:dyDescent="0.25">
      <c r="A34" s="273" t="s">
        <v>61</v>
      </c>
      <c r="B34" s="274"/>
      <c r="C34" s="274" t="s">
        <v>2</v>
      </c>
      <c r="D34" s="274"/>
      <c r="E34" s="26" t="s">
        <v>1</v>
      </c>
      <c r="F34" s="274" t="s">
        <v>45</v>
      </c>
      <c r="G34" s="274"/>
      <c r="H34" s="274" t="s">
        <v>3</v>
      </c>
      <c r="I34" s="274"/>
      <c r="J34" s="274" t="s">
        <v>5</v>
      </c>
      <c r="K34" s="274"/>
      <c r="L34" s="27" t="s">
        <v>4</v>
      </c>
      <c r="M34" s="9"/>
    </row>
    <row r="35" spans="1:13" ht="16.5" customHeight="1" x14ac:dyDescent="0.25">
      <c r="A35" s="259"/>
      <c r="B35" s="247"/>
      <c r="C35" s="247"/>
      <c r="D35" s="247"/>
      <c r="E35" s="28"/>
      <c r="F35" s="247"/>
      <c r="G35" s="247"/>
      <c r="H35" s="247" t="str">
        <f>IF(A35="","",A35-C35)</f>
        <v/>
      </c>
      <c r="I35" s="247"/>
      <c r="J35" s="247"/>
      <c r="K35" s="247"/>
      <c r="L35" s="21" t="str">
        <f>IF(H35="","",IF(AND(H35&gt;=-J35,H35&lt;=J35),"Pass","Fail"))</f>
        <v/>
      </c>
      <c r="M35" s="9"/>
    </row>
    <row r="36" spans="1:13" ht="16.5" customHeight="1" x14ac:dyDescent="0.25">
      <c r="A36" s="259"/>
      <c r="B36" s="247"/>
      <c r="C36" s="247"/>
      <c r="D36" s="247"/>
      <c r="E36" s="28"/>
      <c r="F36" s="247"/>
      <c r="G36" s="247"/>
      <c r="H36" s="247" t="str">
        <f t="shared" ref="H36:H43" si="0">IF(A36="","",A36-C36)</f>
        <v/>
      </c>
      <c r="I36" s="247"/>
      <c r="J36" s="247"/>
      <c r="K36" s="247"/>
      <c r="L36" s="21" t="str">
        <f t="shared" ref="L36:L43" si="1">IF(H36="","",IF(AND(H36&gt;=-J36,H36&lt;=J36),"Pass","Fail"))</f>
        <v/>
      </c>
      <c r="M36" s="9"/>
    </row>
    <row r="37" spans="1:13" ht="16.5" customHeight="1" x14ac:dyDescent="0.25">
      <c r="A37" s="259"/>
      <c r="B37" s="247"/>
      <c r="C37" s="247"/>
      <c r="D37" s="247"/>
      <c r="E37" s="28"/>
      <c r="F37" s="247"/>
      <c r="G37" s="247"/>
      <c r="H37" s="247" t="str">
        <f t="shared" si="0"/>
        <v/>
      </c>
      <c r="I37" s="247"/>
      <c r="J37" s="247"/>
      <c r="K37" s="247"/>
      <c r="L37" s="21" t="str">
        <f t="shared" si="1"/>
        <v/>
      </c>
      <c r="M37" s="9"/>
    </row>
    <row r="38" spans="1:13" ht="16.5" customHeight="1" x14ac:dyDescent="0.25">
      <c r="A38" s="259"/>
      <c r="B38" s="247"/>
      <c r="C38" s="247"/>
      <c r="D38" s="247"/>
      <c r="E38" s="28"/>
      <c r="F38" s="247"/>
      <c r="G38" s="247"/>
      <c r="H38" s="247" t="str">
        <f t="shared" si="0"/>
        <v/>
      </c>
      <c r="I38" s="247"/>
      <c r="J38" s="247"/>
      <c r="K38" s="247"/>
      <c r="L38" s="21" t="str">
        <f t="shared" si="1"/>
        <v/>
      </c>
      <c r="M38" s="9"/>
    </row>
    <row r="39" spans="1:13" ht="16.5" customHeight="1" x14ac:dyDescent="0.25">
      <c r="A39" s="259"/>
      <c r="B39" s="247"/>
      <c r="C39" s="247"/>
      <c r="D39" s="247"/>
      <c r="E39" s="28"/>
      <c r="F39" s="247"/>
      <c r="G39" s="247"/>
      <c r="H39" s="247" t="str">
        <f t="shared" si="0"/>
        <v/>
      </c>
      <c r="I39" s="247"/>
      <c r="J39" s="247"/>
      <c r="K39" s="247"/>
      <c r="L39" s="21" t="str">
        <f t="shared" si="1"/>
        <v/>
      </c>
      <c r="M39" s="9"/>
    </row>
    <row r="40" spans="1:13" ht="16.5" customHeight="1" x14ac:dyDescent="0.25">
      <c r="A40" s="259"/>
      <c r="B40" s="247"/>
      <c r="C40" s="247"/>
      <c r="D40" s="247"/>
      <c r="E40" s="28"/>
      <c r="F40" s="247"/>
      <c r="G40" s="247"/>
      <c r="H40" s="247" t="str">
        <f t="shared" si="0"/>
        <v/>
      </c>
      <c r="I40" s="247"/>
      <c r="J40" s="247"/>
      <c r="K40" s="247"/>
      <c r="L40" s="21" t="str">
        <f t="shared" si="1"/>
        <v/>
      </c>
      <c r="M40" s="9"/>
    </row>
    <row r="41" spans="1:13" ht="16.5" customHeight="1" x14ac:dyDescent="0.25">
      <c r="A41" s="259"/>
      <c r="B41" s="247"/>
      <c r="C41" s="247"/>
      <c r="D41" s="247"/>
      <c r="E41" s="28"/>
      <c r="F41" s="247"/>
      <c r="G41" s="247"/>
      <c r="H41" s="247" t="str">
        <f t="shared" si="0"/>
        <v/>
      </c>
      <c r="I41" s="247"/>
      <c r="J41" s="247"/>
      <c r="K41" s="247"/>
      <c r="L41" s="21" t="str">
        <f t="shared" si="1"/>
        <v/>
      </c>
      <c r="M41" s="9"/>
    </row>
    <row r="42" spans="1:13" ht="16.5" customHeight="1" x14ac:dyDescent="0.25">
      <c r="A42" s="259"/>
      <c r="B42" s="247"/>
      <c r="C42" s="247"/>
      <c r="D42" s="247"/>
      <c r="E42" s="28"/>
      <c r="F42" s="247"/>
      <c r="G42" s="247"/>
      <c r="H42" s="247" t="str">
        <f t="shared" si="0"/>
        <v/>
      </c>
      <c r="I42" s="247"/>
      <c r="J42" s="247"/>
      <c r="K42" s="247"/>
      <c r="L42" s="21" t="str">
        <f t="shared" si="1"/>
        <v/>
      </c>
      <c r="M42" s="9"/>
    </row>
    <row r="43" spans="1:13" ht="16.5" customHeight="1" thickBot="1" x14ac:dyDescent="0.3">
      <c r="A43" s="267"/>
      <c r="B43" s="266"/>
      <c r="C43" s="266"/>
      <c r="D43" s="266"/>
      <c r="E43" s="29"/>
      <c r="F43" s="266"/>
      <c r="G43" s="266"/>
      <c r="H43" s="266" t="str">
        <f t="shared" si="0"/>
        <v/>
      </c>
      <c r="I43" s="266"/>
      <c r="J43" s="266"/>
      <c r="K43" s="266"/>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260" t="s">
        <v>24</v>
      </c>
      <c r="B45" s="261"/>
      <c r="C45" s="261"/>
      <c r="D45" s="261"/>
      <c r="E45" s="261"/>
      <c r="F45" s="261"/>
      <c r="G45" s="261"/>
      <c r="H45" s="261"/>
      <c r="I45" s="261"/>
      <c r="J45" s="261"/>
      <c r="K45" s="261"/>
      <c r="L45" s="262"/>
      <c r="M45" s="9"/>
    </row>
    <row r="46" spans="1:13" ht="16.5" customHeight="1" x14ac:dyDescent="0.25">
      <c r="A46" s="250"/>
      <c r="B46" s="251"/>
      <c r="C46" s="251"/>
      <c r="D46" s="251"/>
      <c r="E46" s="251"/>
      <c r="F46" s="251"/>
      <c r="G46" s="251"/>
      <c r="H46" s="251"/>
      <c r="I46" s="251"/>
      <c r="J46" s="251"/>
      <c r="K46" s="251"/>
      <c r="L46" s="252"/>
      <c r="M46" s="9"/>
    </row>
    <row r="47" spans="1:13" ht="16.5" customHeight="1" x14ac:dyDescent="0.25">
      <c r="A47" s="253"/>
      <c r="B47" s="254"/>
      <c r="C47" s="254"/>
      <c r="D47" s="254"/>
      <c r="E47" s="254"/>
      <c r="F47" s="254"/>
      <c r="G47" s="254"/>
      <c r="H47" s="254"/>
      <c r="I47" s="254"/>
      <c r="J47" s="254"/>
      <c r="K47" s="254"/>
      <c r="L47" s="255"/>
      <c r="M47" s="9"/>
    </row>
    <row r="48" spans="1:13" ht="16.5" customHeight="1" thickBot="1" x14ac:dyDescent="0.3">
      <c r="A48" s="256"/>
      <c r="B48" s="257"/>
      <c r="C48" s="257"/>
      <c r="D48" s="257"/>
      <c r="E48" s="257"/>
      <c r="F48" s="257"/>
      <c r="G48" s="257"/>
      <c r="H48" s="257"/>
      <c r="I48" s="257"/>
      <c r="J48" s="257"/>
      <c r="K48" s="257"/>
      <c r="L48" s="258"/>
      <c r="M48" s="9"/>
    </row>
    <row r="49" spans="1:13" ht="16.5" customHeight="1" x14ac:dyDescent="0.25">
      <c r="A49" s="9"/>
      <c r="B49" s="9"/>
      <c r="C49" s="9"/>
      <c r="D49" s="9"/>
      <c r="E49" s="9"/>
      <c r="F49" s="9"/>
      <c r="G49" s="9"/>
      <c r="H49" s="9"/>
      <c r="I49" s="9"/>
      <c r="J49" s="9"/>
      <c r="K49" s="9"/>
      <c r="L49" s="9"/>
      <c r="M49" s="11"/>
    </row>
    <row r="50" spans="1:13" ht="21.75" customHeight="1" x14ac:dyDescent="0.25">
      <c r="A50" s="248" t="s">
        <v>47</v>
      </c>
      <c r="B50" s="249"/>
      <c r="C50" s="249"/>
      <c r="D50" s="249"/>
      <c r="E50" s="249"/>
      <c r="F50" s="249"/>
      <c r="G50" s="249"/>
      <c r="H50" s="249"/>
      <c r="I50" s="249"/>
      <c r="J50" s="249"/>
      <c r="K50" s="249"/>
      <c r="L50" s="249"/>
      <c r="M50" s="11"/>
    </row>
    <row r="51" spans="1:13" ht="21.75" customHeight="1" x14ac:dyDescent="0.25">
      <c r="A51" s="249"/>
      <c r="B51" s="249"/>
      <c r="C51" s="249"/>
      <c r="D51" s="249"/>
      <c r="E51" s="249"/>
      <c r="F51" s="249"/>
      <c r="G51" s="249"/>
      <c r="H51" s="249"/>
      <c r="I51" s="249"/>
      <c r="J51" s="249"/>
      <c r="K51" s="249"/>
      <c r="L51" s="249"/>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244" t="s">
        <v>12</v>
      </c>
      <c r="B54" s="244"/>
      <c r="C54" s="243"/>
      <c r="D54" s="243"/>
      <c r="E54" s="243"/>
      <c r="F54" s="14"/>
      <c r="G54" s="244" t="s">
        <v>40</v>
      </c>
      <c r="H54" s="244"/>
      <c r="I54" s="243"/>
      <c r="J54" s="243"/>
      <c r="K54" s="243"/>
      <c r="M54" s="11"/>
    </row>
    <row r="55" spans="1:13" ht="16.5" customHeight="1" x14ac:dyDescent="0.25">
      <c r="A55" s="9"/>
      <c r="B55" s="9"/>
      <c r="C55" s="9"/>
      <c r="D55" s="9"/>
      <c r="E55" s="9"/>
      <c r="F55" s="9"/>
      <c r="G55" s="9"/>
      <c r="H55" s="9"/>
      <c r="I55" s="9"/>
      <c r="J55" s="9"/>
      <c r="K55" s="9"/>
      <c r="L55" s="9"/>
      <c r="M55" s="11"/>
    </row>
    <row r="56" spans="1:13" ht="16.5" customHeight="1" thickBot="1" x14ac:dyDescent="0.3">
      <c r="A56" s="244" t="s">
        <v>49</v>
      </c>
      <c r="B56" s="244"/>
      <c r="C56" s="243"/>
      <c r="D56" s="243"/>
      <c r="E56" s="243"/>
      <c r="F56" s="9"/>
      <c r="G56" s="244" t="s">
        <v>41</v>
      </c>
      <c r="H56" s="244"/>
      <c r="I56" s="243"/>
      <c r="J56" s="243"/>
      <c r="K56" s="243"/>
      <c r="L56" s="9"/>
      <c r="M56" s="11"/>
    </row>
    <row r="57" spans="1:13" ht="16.5" customHeight="1" x14ac:dyDescent="0.25">
      <c r="A57" s="265"/>
      <c r="B57" s="265"/>
      <c r="C57" s="265"/>
      <c r="D57" s="265"/>
      <c r="E57" s="265"/>
      <c r="F57" s="265"/>
      <c r="G57" s="265"/>
      <c r="H57" s="265"/>
      <c r="I57" s="265"/>
      <c r="J57" s="265"/>
      <c r="K57" s="265"/>
      <c r="L57" s="265"/>
    </row>
    <row r="58" spans="1:13" ht="16.5" customHeight="1" x14ac:dyDescent="0.25">
      <c r="A58" s="13"/>
      <c r="B58" s="13"/>
      <c r="C58" s="13"/>
      <c r="D58" s="13"/>
      <c r="E58" s="13"/>
      <c r="F58" s="13"/>
      <c r="G58" s="13"/>
      <c r="H58" s="13"/>
      <c r="I58" s="13"/>
      <c r="J58" s="13"/>
      <c r="K58" s="13"/>
      <c r="L58" s="13"/>
    </row>
  </sheetData>
  <mergeCells count="161">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A15:D15"/>
    <mergeCell ref="E15:F15"/>
    <mergeCell ref="G15:H15"/>
    <mergeCell ref="I15:J15"/>
    <mergeCell ref="K15:L15"/>
    <mergeCell ref="A16:D16"/>
    <mergeCell ref="E16:F16"/>
    <mergeCell ref="G16:H16"/>
    <mergeCell ref="I16:J16"/>
    <mergeCell ref="K16:L16"/>
    <mergeCell ref="I3:L3"/>
    <mergeCell ref="C4:F4"/>
    <mergeCell ref="G4:H4"/>
    <mergeCell ref="I4:L4"/>
    <mergeCell ref="C5:F5"/>
    <mergeCell ref="G5:H5"/>
    <mergeCell ref="I5:L5"/>
    <mergeCell ref="A14:D14"/>
    <mergeCell ref="E14:F14"/>
    <mergeCell ref="G14:H14"/>
    <mergeCell ref="I14:J14"/>
    <mergeCell ref="K14:L14"/>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s>
  <conditionalFormatting sqref="L35:L43">
    <cfRule type="containsText" dxfId="13" priority="2" operator="containsText" text="Fail">
      <formula>NOT(ISERROR(SEARCH("Fail",L35)))</formula>
    </cfRule>
    <cfRule type="containsText" dxfId="12"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289"/>
      <c r="B1" s="289"/>
      <c r="C1" s="289"/>
      <c r="D1" s="289"/>
      <c r="E1" s="290" t="s">
        <v>48</v>
      </c>
      <c r="F1" s="290"/>
      <c r="G1" s="290"/>
      <c r="H1" s="290"/>
      <c r="I1" s="290"/>
      <c r="J1" s="290"/>
      <c r="K1" s="290"/>
      <c r="L1" s="290"/>
      <c r="M1" s="32"/>
    </row>
    <row r="2" spans="1:13" customFormat="1" ht="15" x14ac:dyDescent="0.25">
      <c r="A2" s="289"/>
      <c r="B2" s="289"/>
      <c r="C2" s="289"/>
      <c r="D2" s="289"/>
      <c r="E2" s="290"/>
      <c r="F2" s="290"/>
      <c r="G2" s="290"/>
      <c r="H2" s="290"/>
      <c r="I2" s="290"/>
      <c r="J2" s="290"/>
      <c r="K2" s="290"/>
      <c r="L2" s="290"/>
      <c r="M2" s="32"/>
    </row>
    <row r="3" spans="1:13" customFormat="1" ht="15" x14ac:dyDescent="0.25">
      <c r="A3" s="289"/>
      <c r="B3" s="289"/>
      <c r="C3" s="289"/>
      <c r="D3" s="289"/>
      <c r="E3" s="290"/>
      <c r="F3" s="290"/>
      <c r="G3" s="290"/>
      <c r="H3" s="290"/>
      <c r="I3" s="290"/>
      <c r="J3" s="290"/>
      <c r="K3" s="290"/>
      <c r="L3" s="290"/>
      <c r="M3" s="32"/>
    </row>
    <row r="4" spans="1:13" customFormat="1" ht="15" customHeight="1" x14ac:dyDescent="0.25">
      <c r="A4" s="289"/>
      <c r="B4" s="289"/>
      <c r="C4" s="289"/>
      <c r="D4" s="289"/>
      <c r="E4" s="291" t="s">
        <v>51</v>
      </c>
      <c r="F4" s="291"/>
      <c r="G4" s="291"/>
      <c r="H4" s="291"/>
      <c r="I4" s="291"/>
      <c r="J4" s="291"/>
      <c r="K4" s="291"/>
      <c r="L4" s="291"/>
      <c r="M4" s="32"/>
    </row>
    <row r="5" spans="1:13" customFormat="1" ht="15" customHeight="1" x14ac:dyDescent="0.25">
      <c r="A5" s="289"/>
      <c r="B5" s="289"/>
      <c r="C5" s="289"/>
      <c r="D5" s="289"/>
      <c r="E5" s="291"/>
      <c r="F5" s="291"/>
      <c r="G5" s="291"/>
      <c r="H5" s="291"/>
      <c r="I5" s="291"/>
      <c r="J5" s="291"/>
      <c r="K5" s="291"/>
      <c r="L5" s="291"/>
      <c r="M5" s="32"/>
    </row>
    <row r="6" spans="1:13" customFormat="1" ht="15" customHeight="1" x14ac:dyDescent="0.25">
      <c r="A6" s="32"/>
      <c r="B6" s="32"/>
      <c r="C6" s="32"/>
      <c r="D6" s="32"/>
      <c r="E6" s="291"/>
      <c r="F6" s="291"/>
      <c r="G6" s="291"/>
      <c r="H6" s="291"/>
      <c r="I6" s="291"/>
      <c r="J6" s="291"/>
      <c r="K6" s="291"/>
      <c r="L6" s="291"/>
      <c r="M6" s="32"/>
    </row>
    <row r="7" spans="1:13" customFormat="1" ht="24" thickBot="1" x14ac:dyDescent="0.3">
      <c r="A7" s="32"/>
      <c r="B7" s="32"/>
      <c r="C7" s="32"/>
      <c r="D7" s="32"/>
      <c r="E7" s="43"/>
      <c r="F7" s="43"/>
      <c r="G7" s="43"/>
      <c r="H7" s="43"/>
      <c r="I7" s="43"/>
      <c r="J7" s="43"/>
      <c r="K7" s="43"/>
      <c r="L7" s="43"/>
      <c r="M7" s="32"/>
    </row>
    <row r="8" spans="1:13" ht="18.75" customHeight="1" thickBot="1" x14ac:dyDescent="0.3">
      <c r="A8" s="260" t="s">
        <v>28</v>
      </c>
      <c r="B8" s="261"/>
      <c r="C8" s="261"/>
      <c r="D8" s="261"/>
      <c r="E8" s="261"/>
      <c r="F8" s="262"/>
      <c r="G8" s="260" t="s">
        <v>29</v>
      </c>
      <c r="H8" s="261"/>
      <c r="I8" s="261"/>
      <c r="J8" s="261"/>
      <c r="K8" s="261"/>
      <c r="L8" s="262"/>
      <c r="M8" s="37"/>
    </row>
    <row r="9" spans="1:13" ht="18.75" customHeight="1" x14ac:dyDescent="0.25">
      <c r="A9" s="272" t="s">
        <v>31</v>
      </c>
      <c r="B9" s="270"/>
      <c r="C9" s="283"/>
      <c r="D9" s="283"/>
      <c r="E9" s="283"/>
      <c r="F9" s="284"/>
      <c r="G9" s="272" t="s">
        <v>36</v>
      </c>
      <c r="H9" s="270"/>
      <c r="I9" s="275"/>
      <c r="J9" s="275"/>
      <c r="K9" s="275"/>
      <c r="L9" s="276"/>
      <c r="M9" s="37"/>
    </row>
    <row r="10" spans="1:13" ht="18.75" customHeight="1" x14ac:dyDescent="0.25">
      <c r="A10" s="245" t="s">
        <v>32</v>
      </c>
      <c r="B10" s="246"/>
      <c r="C10" s="247"/>
      <c r="D10" s="247"/>
      <c r="E10" s="247"/>
      <c r="F10" s="269"/>
      <c r="G10" s="245" t="s">
        <v>37</v>
      </c>
      <c r="H10" s="246"/>
      <c r="I10" s="247"/>
      <c r="J10" s="247"/>
      <c r="K10" s="247"/>
      <c r="L10" s="269"/>
      <c r="M10" s="37"/>
    </row>
    <row r="11" spans="1:13" ht="18.75" customHeight="1" x14ac:dyDescent="0.25">
      <c r="A11" s="245"/>
      <c r="B11" s="246"/>
      <c r="C11" s="247"/>
      <c r="D11" s="247"/>
      <c r="E11" s="247"/>
      <c r="F11" s="269"/>
      <c r="G11" s="245" t="s">
        <v>38</v>
      </c>
      <c r="H11" s="246"/>
      <c r="I11" s="247"/>
      <c r="J11" s="247"/>
      <c r="K11" s="247"/>
      <c r="L11" s="269"/>
      <c r="M11" s="37"/>
    </row>
    <row r="12" spans="1:13" ht="18.75" customHeight="1" x14ac:dyDescent="0.25">
      <c r="A12" s="245"/>
      <c r="B12" s="246"/>
      <c r="C12" s="247"/>
      <c r="D12" s="247"/>
      <c r="E12" s="247"/>
      <c r="F12" s="269"/>
      <c r="G12" s="245" t="s">
        <v>39</v>
      </c>
      <c r="H12" s="246"/>
      <c r="I12" s="247" t="s">
        <v>50</v>
      </c>
      <c r="J12" s="247"/>
      <c r="K12" s="247"/>
      <c r="L12" s="269"/>
      <c r="M12" s="37"/>
    </row>
    <row r="13" spans="1:13" ht="18.75" customHeight="1" x14ac:dyDescent="0.25">
      <c r="A13" s="245"/>
      <c r="B13" s="246"/>
      <c r="C13" s="247"/>
      <c r="D13" s="247"/>
      <c r="E13" s="247"/>
      <c r="F13" s="269"/>
      <c r="G13" s="245" t="s">
        <v>34</v>
      </c>
      <c r="H13" s="246"/>
      <c r="I13" s="279"/>
      <c r="J13" s="279"/>
      <c r="K13" s="279"/>
      <c r="L13" s="280"/>
      <c r="M13" s="37"/>
    </row>
    <row r="14" spans="1:13" ht="18.75" customHeight="1" thickBot="1" x14ac:dyDescent="0.3">
      <c r="A14" s="277" t="s">
        <v>33</v>
      </c>
      <c r="B14" s="278"/>
      <c r="C14" s="266"/>
      <c r="D14" s="266"/>
      <c r="E14" s="266"/>
      <c r="F14" s="268"/>
      <c r="G14" s="277" t="s">
        <v>35</v>
      </c>
      <c r="H14" s="278"/>
      <c r="I14" s="281"/>
      <c r="J14" s="281"/>
      <c r="K14" s="281"/>
      <c r="L14" s="282"/>
      <c r="M14" s="37"/>
    </row>
    <row r="15" spans="1:13" ht="16.5" customHeight="1" x14ac:dyDescent="0.25">
      <c r="A15" s="37"/>
      <c r="B15" s="37"/>
      <c r="C15" s="37"/>
      <c r="D15" s="37"/>
      <c r="E15" s="37"/>
      <c r="F15" s="37"/>
      <c r="G15" s="37"/>
      <c r="H15" s="37"/>
      <c r="I15" s="37"/>
      <c r="J15" s="37"/>
      <c r="K15" s="37"/>
      <c r="L15" s="37"/>
      <c r="M15" s="39"/>
    </row>
    <row r="16" spans="1:13" ht="21" customHeight="1" x14ac:dyDescent="0.25">
      <c r="A16" s="292" t="s">
        <v>52</v>
      </c>
      <c r="B16" s="292"/>
      <c r="C16" s="292"/>
      <c r="D16" s="292"/>
      <c r="E16" s="292"/>
      <c r="F16" s="292"/>
      <c r="G16" s="292"/>
      <c r="H16" s="292"/>
      <c r="I16" s="292"/>
      <c r="J16" s="292"/>
      <c r="K16" s="292"/>
      <c r="L16" s="292"/>
      <c r="M16" s="39"/>
    </row>
    <row r="17" spans="1:13" ht="21" customHeight="1" x14ac:dyDescent="0.25">
      <c r="A17" s="292"/>
      <c r="B17" s="292"/>
      <c r="C17" s="292"/>
      <c r="D17" s="292"/>
      <c r="E17" s="292"/>
      <c r="F17" s="292"/>
      <c r="G17" s="292"/>
      <c r="H17" s="292"/>
      <c r="I17" s="292"/>
      <c r="J17" s="292"/>
      <c r="K17" s="292"/>
      <c r="L17" s="292"/>
      <c r="M17" s="39"/>
    </row>
    <row r="18" spans="1:13" ht="16.5" customHeight="1" thickBot="1" x14ac:dyDescent="0.3">
      <c r="A18" s="37"/>
      <c r="B18" s="37"/>
      <c r="C18" s="37"/>
      <c r="D18" s="37"/>
      <c r="E18" s="37"/>
      <c r="F18" s="37"/>
      <c r="G18" s="37"/>
      <c r="H18" s="37"/>
      <c r="I18" s="37"/>
      <c r="J18" s="37"/>
      <c r="K18" s="37"/>
      <c r="L18" s="37"/>
      <c r="M18" s="39"/>
    </row>
    <row r="19" spans="1:13" ht="16.5" customHeight="1" thickBot="1" x14ac:dyDescent="0.3">
      <c r="A19" s="260" t="s">
        <v>20</v>
      </c>
      <c r="B19" s="261"/>
      <c r="C19" s="261"/>
      <c r="D19" s="261"/>
      <c r="E19" s="261"/>
      <c r="F19" s="261"/>
      <c r="G19" s="261"/>
      <c r="H19" s="261"/>
      <c r="I19" s="261"/>
      <c r="J19" s="261"/>
      <c r="K19" s="261"/>
      <c r="L19" s="262"/>
      <c r="M19" s="37"/>
    </row>
    <row r="20" spans="1:13" ht="16.5" customHeight="1" x14ac:dyDescent="0.25">
      <c r="A20" s="272" t="s">
        <v>23</v>
      </c>
      <c r="B20" s="270"/>
      <c r="C20" s="270"/>
      <c r="D20" s="270"/>
      <c r="E20" s="270" t="s">
        <v>22</v>
      </c>
      <c r="F20" s="270"/>
      <c r="G20" s="270" t="s">
        <v>21</v>
      </c>
      <c r="H20" s="270"/>
      <c r="I20" s="270" t="s">
        <v>53</v>
      </c>
      <c r="J20" s="270"/>
      <c r="K20" s="270" t="s">
        <v>54</v>
      </c>
      <c r="L20" s="271"/>
      <c r="M20" s="37"/>
    </row>
    <row r="21" spans="1:13" ht="16.5" customHeight="1" x14ac:dyDescent="0.25">
      <c r="A21" s="259"/>
      <c r="B21" s="247"/>
      <c r="C21" s="247"/>
      <c r="D21" s="247"/>
      <c r="E21" s="247"/>
      <c r="F21" s="247"/>
      <c r="G21" s="247"/>
      <c r="H21" s="247"/>
      <c r="I21" s="247"/>
      <c r="J21" s="247"/>
      <c r="K21" s="247"/>
      <c r="L21" s="269"/>
      <c r="M21" s="37"/>
    </row>
    <row r="22" spans="1:13" ht="16.5" customHeight="1" x14ac:dyDescent="0.25">
      <c r="A22" s="259"/>
      <c r="B22" s="247"/>
      <c r="C22" s="247"/>
      <c r="D22" s="247"/>
      <c r="E22" s="247"/>
      <c r="F22" s="247"/>
      <c r="G22" s="247"/>
      <c r="H22" s="247"/>
      <c r="I22" s="247"/>
      <c r="J22" s="247"/>
      <c r="K22" s="247"/>
      <c r="L22" s="269"/>
      <c r="M22" s="37"/>
    </row>
    <row r="23" spans="1:13" ht="16.5" customHeight="1" x14ac:dyDescent="0.25">
      <c r="A23" s="259"/>
      <c r="B23" s="247"/>
      <c r="C23" s="247"/>
      <c r="D23" s="247"/>
      <c r="E23" s="247"/>
      <c r="F23" s="247"/>
      <c r="G23" s="247"/>
      <c r="H23" s="247"/>
      <c r="I23" s="247"/>
      <c r="J23" s="247"/>
      <c r="K23" s="247"/>
      <c r="L23" s="269"/>
      <c r="M23" s="37"/>
    </row>
    <row r="24" spans="1:13" ht="16.5" customHeight="1" x14ac:dyDescent="0.25">
      <c r="A24" s="259"/>
      <c r="B24" s="247"/>
      <c r="C24" s="247"/>
      <c r="D24" s="247"/>
      <c r="E24" s="247"/>
      <c r="F24" s="247"/>
      <c r="G24" s="247"/>
      <c r="H24" s="247"/>
      <c r="I24" s="247"/>
      <c r="J24" s="247"/>
      <c r="K24" s="247"/>
      <c r="L24" s="269"/>
      <c r="M24" s="37"/>
    </row>
    <row r="25" spans="1:13" ht="16.5" customHeight="1" thickBot="1" x14ac:dyDescent="0.3">
      <c r="A25" s="267"/>
      <c r="B25" s="266"/>
      <c r="C25" s="266"/>
      <c r="D25" s="266"/>
      <c r="E25" s="266"/>
      <c r="F25" s="266"/>
      <c r="G25" s="266"/>
      <c r="H25" s="266"/>
      <c r="I25" s="266"/>
      <c r="J25" s="266"/>
      <c r="K25" s="266"/>
      <c r="L25" s="268"/>
      <c r="M25" s="37"/>
    </row>
    <row r="26" spans="1:13" ht="16.5" customHeight="1" thickBot="1" x14ac:dyDescent="0.3">
      <c r="A26" s="37"/>
      <c r="B26" s="37"/>
      <c r="C26" s="37"/>
      <c r="D26" s="37"/>
      <c r="E26" s="37"/>
      <c r="F26" s="37"/>
      <c r="G26" s="37"/>
      <c r="H26" s="37"/>
      <c r="I26" s="37"/>
      <c r="J26" s="37"/>
      <c r="K26" s="37"/>
      <c r="L26" s="37"/>
      <c r="M26" s="39"/>
    </row>
    <row r="27" spans="1:13" ht="16.5" customHeight="1" thickBot="1" x14ac:dyDescent="0.3">
      <c r="A27" s="260" t="s">
        <v>13</v>
      </c>
      <c r="B27" s="261"/>
      <c r="C27" s="261"/>
      <c r="D27" s="261"/>
      <c r="E27" s="261"/>
      <c r="F27" s="261"/>
      <c r="G27" s="261"/>
      <c r="H27" s="261"/>
      <c r="I27" s="261"/>
      <c r="J27" s="261"/>
      <c r="K27" s="261"/>
      <c r="L27" s="262"/>
      <c r="M27" s="37"/>
    </row>
    <row r="28" spans="1:13" ht="16.5" customHeight="1" x14ac:dyDescent="0.25">
      <c r="A28" s="272" t="s">
        <v>30</v>
      </c>
      <c r="B28" s="270"/>
      <c r="C28" s="283"/>
      <c r="D28" s="283"/>
      <c r="E28" s="283"/>
      <c r="F28" s="283"/>
      <c r="G28" s="283"/>
      <c r="H28" s="283"/>
      <c r="I28" s="270" t="s">
        <v>25</v>
      </c>
      <c r="J28" s="270"/>
      <c r="K28" s="283"/>
      <c r="L28" s="284"/>
      <c r="M28" s="37"/>
    </row>
    <row r="29" spans="1:13" ht="16.5" customHeight="1" x14ac:dyDescent="0.25">
      <c r="A29" s="245" t="s">
        <v>15</v>
      </c>
      <c r="B29" s="246"/>
      <c r="C29" s="247"/>
      <c r="D29" s="247"/>
      <c r="E29" s="246" t="s">
        <v>16</v>
      </c>
      <c r="F29" s="246"/>
      <c r="G29" s="247"/>
      <c r="H29" s="247"/>
      <c r="I29" s="246" t="s">
        <v>18</v>
      </c>
      <c r="J29" s="246"/>
      <c r="K29" s="247"/>
      <c r="L29" s="269"/>
      <c r="M29" s="37"/>
    </row>
    <row r="30" spans="1:13" ht="16.5" customHeight="1" x14ac:dyDescent="0.25">
      <c r="A30" s="245" t="s">
        <v>14</v>
      </c>
      <c r="B30" s="246"/>
      <c r="C30" s="247"/>
      <c r="D30" s="247"/>
      <c r="E30" s="246" t="s">
        <v>42</v>
      </c>
      <c r="F30" s="246"/>
      <c r="G30" s="247"/>
      <c r="H30" s="247"/>
      <c r="I30" s="246" t="s">
        <v>43</v>
      </c>
      <c r="J30" s="246"/>
      <c r="K30" s="247"/>
      <c r="L30" s="269"/>
      <c r="M30" s="37"/>
    </row>
    <row r="31" spans="1:13" ht="16.5" customHeight="1" x14ac:dyDescent="0.25">
      <c r="A31" s="245" t="s">
        <v>17</v>
      </c>
      <c r="B31" s="246"/>
      <c r="C31" s="247"/>
      <c r="D31" s="247"/>
      <c r="E31" s="246" t="s">
        <v>26</v>
      </c>
      <c r="F31" s="246"/>
      <c r="G31" s="247"/>
      <c r="H31" s="247"/>
      <c r="I31" s="246" t="s">
        <v>27</v>
      </c>
      <c r="J31" s="246"/>
      <c r="K31" s="247"/>
      <c r="L31" s="269"/>
      <c r="M31" s="37"/>
    </row>
    <row r="32" spans="1:13" ht="33.75" customHeight="1" x14ac:dyDescent="0.25">
      <c r="A32" s="245" t="s">
        <v>19</v>
      </c>
      <c r="B32" s="246"/>
      <c r="C32" s="247"/>
      <c r="D32" s="247"/>
      <c r="E32" s="247"/>
      <c r="F32" s="247"/>
      <c r="G32" s="247"/>
      <c r="H32" s="247"/>
      <c r="I32" s="247"/>
      <c r="J32" s="247"/>
      <c r="K32" s="247"/>
      <c r="L32" s="269"/>
      <c r="M32" s="37"/>
    </row>
    <row r="33" spans="1:13" ht="16.5" customHeight="1" x14ac:dyDescent="0.25">
      <c r="A33" s="397"/>
      <c r="B33" s="398"/>
      <c r="C33" s="398"/>
      <c r="D33" s="399"/>
      <c r="E33" s="246" t="s">
        <v>55</v>
      </c>
      <c r="F33" s="246"/>
      <c r="G33" s="247"/>
      <c r="H33" s="247"/>
      <c r="I33" s="246" t="s">
        <v>43</v>
      </c>
      <c r="J33" s="246"/>
      <c r="K33" s="247"/>
      <c r="L33" s="269"/>
      <c r="M33" s="37"/>
    </row>
    <row r="34" spans="1:13" ht="16.5" customHeight="1" x14ac:dyDescent="0.25">
      <c r="A34" s="245" t="s">
        <v>17</v>
      </c>
      <c r="B34" s="246"/>
      <c r="C34" s="247"/>
      <c r="D34" s="247"/>
      <c r="E34" s="246" t="s">
        <v>26</v>
      </c>
      <c r="F34" s="246"/>
      <c r="G34" s="247"/>
      <c r="H34" s="247"/>
      <c r="I34" s="246" t="s">
        <v>27</v>
      </c>
      <c r="J34" s="246"/>
      <c r="K34" s="247"/>
      <c r="L34" s="269"/>
      <c r="M34" s="37"/>
    </row>
    <row r="35" spans="1:13" ht="33.75" customHeight="1" thickBot="1" x14ac:dyDescent="0.3">
      <c r="A35" s="277" t="s">
        <v>19</v>
      </c>
      <c r="B35" s="278"/>
      <c r="C35" s="266"/>
      <c r="D35" s="266"/>
      <c r="E35" s="266"/>
      <c r="F35" s="266"/>
      <c r="G35" s="266"/>
      <c r="H35" s="266"/>
      <c r="I35" s="266"/>
      <c r="J35" s="266"/>
      <c r="K35" s="266"/>
      <c r="L35" s="268"/>
      <c r="M35" s="37"/>
    </row>
    <row r="36" spans="1:13" ht="16.5" customHeight="1" thickBot="1" x14ac:dyDescent="0.3">
      <c r="A36" s="42"/>
      <c r="B36" s="42"/>
      <c r="C36" s="42"/>
      <c r="D36" s="42"/>
      <c r="E36" s="42"/>
      <c r="F36" s="42"/>
      <c r="G36" s="42"/>
      <c r="H36" s="42"/>
      <c r="I36" s="42"/>
      <c r="J36" s="42"/>
      <c r="K36" s="42"/>
      <c r="L36" s="42"/>
      <c r="M36" s="39"/>
    </row>
    <row r="37" spans="1:13" ht="21" customHeight="1" thickBot="1" x14ac:dyDescent="0.3">
      <c r="A37" s="260" t="s">
        <v>7</v>
      </c>
      <c r="B37" s="261"/>
      <c r="C37" s="261"/>
      <c r="D37" s="261"/>
      <c r="E37" s="261"/>
      <c r="F37" s="261"/>
      <c r="G37" s="261"/>
      <c r="H37" s="261"/>
      <c r="I37" s="261"/>
      <c r="J37" s="261"/>
      <c r="K37" s="261"/>
      <c r="L37" s="262"/>
      <c r="M37" s="37"/>
    </row>
    <row r="38" spans="1:13" ht="21" customHeight="1" thickBot="1" x14ac:dyDescent="0.3">
      <c r="A38" s="263" t="s">
        <v>8</v>
      </c>
      <c r="B38" s="264"/>
      <c r="C38" s="24"/>
      <c r="D38" s="264" t="s">
        <v>9</v>
      </c>
      <c r="E38" s="264"/>
      <c r="F38" s="24"/>
      <c r="G38" s="264" t="s">
        <v>10</v>
      </c>
      <c r="H38" s="264"/>
      <c r="I38" s="24"/>
      <c r="J38" s="264" t="s">
        <v>11</v>
      </c>
      <c r="K38" s="264"/>
      <c r="L38" s="25"/>
      <c r="M38" s="37"/>
    </row>
    <row r="39" spans="1:13" ht="16.5" customHeight="1" thickBot="1" x14ac:dyDescent="0.3">
      <c r="A39" s="37"/>
      <c r="B39" s="37"/>
      <c r="C39" s="37"/>
      <c r="D39" s="37"/>
      <c r="E39" s="37"/>
      <c r="F39" s="37"/>
      <c r="G39" s="37"/>
      <c r="H39" s="37"/>
      <c r="I39" s="37"/>
      <c r="J39" s="37"/>
      <c r="K39" s="37"/>
      <c r="L39" s="37"/>
      <c r="M39" s="39"/>
    </row>
    <row r="40" spans="1:13" ht="19.5" customHeight="1" thickBot="1" x14ac:dyDescent="0.3">
      <c r="A40" s="260" t="s">
        <v>44</v>
      </c>
      <c r="B40" s="261"/>
      <c r="C40" s="261"/>
      <c r="D40" s="261"/>
      <c r="E40" s="261"/>
      <c r="F40" s="261"/>
      <c r="G40" s="261"/>
      <c r="H40" s="261"/>
      <c r="I40" s="261"/>
      <c r="J40" s="261"/>
      <c r="K40" s="261"/>
      <c r="L40" s="262"/>
      <c r="M40" s="37"/>
    </row>
    <row r="41" spans="1:13" ht="36.75" customHeight="1" x14ac:dyDescent="0.25">
      <c r="A41" s="273" t="s">
        <v>61</v>
      </c>
      <c r="B41" s="274"/>
      <c r="C41" s="274" t="s">
        <v>2</v>
      </c>
      <c r="D41" s="274"/>
      <c r="E41" s="26" t="s">
        <v>1</v>
      </c>
      <c r="F41" s="274" t="s">
        <v>45</v>
      </c>
      <c r="G41" s="274"/>
      <c r="H41" s="274" t="s">
        <v>3</v>
      </c>
      <c r="I41" s="274"/>
      <c r="J41" s="274" t="s">
        <v>5</v>
      </c>
      <c r="K41" s="274"/>
      <c r="L41" s="27" t="s">
        <v>4</v>
      </c>
      <c r="M41" s="37"/>
    </row>
    <row r="42" spans="1:13" ht="16.5" customHeight="1" x14ac:dyDescent="0.25">
      <c r="A42" s="259"/>
      <c r="B42" s="247"/>
      <c r="C42" s="247"/>
      <c r="D42" s="247"/>
      <c r="E42" s="28"/>
      <c r="F42" s="247"/>
      <c r="G42" s="247"/>
      <c r="H42" s="247" t="str">
        <f>IF(A42="","",A42-C42)</f>
        <v/>
      </c>
      <c r="I42" s="247"/>
      <c r="J42" s="247"/>
      <c r="K42" s="247"/>
      <c r="L42" s="21" t="str">
        <f>IF(H42="","",IF(AND(H42&gt;=-J42,H42&lt;=J42),"Pass","Fail"))</f>
        <v/>
      </c>
      <c r="M42" s="37"/>
    </row>
    <row r="43" spans="1:13" ht="16.5" customHeight="1" x14ac:dyDescent="0.25">
      <c r="A43" s="259"/>
      <c r="B43" s="247"/>
      <c r="C43" s="247"/>
      <c r="D43" s="247"/>
      <c r="E43" s="28"/>
      <c r="F43" s="247"/>
      <c r="G43" s="247"/>
      <c r="H43" s="247" t="str">
        <f t="shared" ref="H43:H50" si="0">IF(A43="","",A43-C43)</f>
        <v/>
      </c>
      <c r="I43" s="247"/>
      <c r="J43" s="247"/>
      <c r="K43" s="247"/>
      <c r="L43" s="21" t="str">
        <f t="shared" ref="L43:L50" si="1">IF(H43="","",IF(AND(H43&gt;=-J43,H43&lt;=J43),"Pass","Fail"))</f>
        <v/>
      </c>
      <c r="M43" s="37"/>
    </row>
    <row r="44" spans="1:13" ht="16.5" customHeight="1" x14ac:dyDescent="0.25">
      <c r="A44" s="259"/>
      <c r="B44" s="247"/>
      <c r="C44" s="247"/>
      <c r="D44" s="247"/>
      <c r="E44" s="28"/>
      <c r="F44" s="247"/>
      <c r="G44" s="247"/>
      <c r="H44" s="247" t="str">
        <f t="shared" si="0"/>
        <v/>
      </c>
      <c r="I44" s="247"/>
      <c r="J44" s="247"/>
      <c r="K44" s="247"/>
      <c r="L44" s="21" t="str">
        <f t="shared" si="1"/>
        <v/>
      </c>
      <c r="M44" s="37"/>
    </row>
    <row r="45" spans="1:13" ht="16.5" customHeight="1" x14ac:dyDescent="0.25">
      <c r="A45" s="259"/>
      <c r="B45" s="247"/>
      <c r="C45" s="247"/>
      <c r="D45" s="247"/>
      <c r="E45" s="28"/>
      <c r="F45" s="247"/>
      <c r="G45" s="247"/>
      <c r="H45" s="247" t="str">
        <f t="shared" si="0"/>
        <v/>
      </c>
      <c r="I45" s="247"/>
      <c r="J45" s="247"/>
      <c r="K45" s="247"/>
      <c r="L45" s="21" t="str">
        <f t="shared" si="1"/>
        <v/>
      </c>
      <c r="M45" s="37"/>
    </row>
    <row r="46" spans="1:13" ht="16.5" customHeight="1" x14ac:dyDescent="0.25">
      <c r="A46" s="259"/>
      <c r="B46" s="247"/>
      <c r="C46" s="247"/>
      <c r="D46" s="247"/>
      <c r="E46" s="28"/>
      <c r="F46" s="247"/>
      <c r="G46" s="247"/>
      <c r="H46" s="247" t="str">
        <f t="shared" si="0"/>
        <v/>
      </c>
      <c r="I46" s="247"/>
      <c r="J46" s="247"/>
      <c r="K46" s="247"/>
      <c r="L46" s="21" t="str">
        <f t="shared" si="1"/>
        <v/>
      </c>
      <c r="M46" s="37"/>
    </row>
    <row r="47" spans="1:13" ht="16.5" customHeight="1" x14ac:dyDescent="0.25">
      <c r="A47" s="259"/>
      <c r="B47" s="247"/>
      <c r="C47" s="247"/>
      <c r="D47" s="247"/>
      <c r="E47" s="28"/>
      <c r="F47" s="247"/>
      <c r="G47" s="247"/>
      <c r="H47" s="247" t="str">
        <f t="shared" si="0"/>
        <v/>
      </c>
      <c r="I47" s="247"/>
      <c r="J47" s="247"/>
      <c r="K47" s="247"/>
      <c r="L47" s="21" t="str">
        <f t="shared" si="1"/>
        <v/>
      </c>
      <c r="M47" s="37"/>
    </row>
    <row r="48" spans="1:13" ht="16.5" customHeight="1" x14ac:dyDescent="0.25">
      <c r="A48" s="259"/>
      <c r="B48" s="247"/>
      <c r="C48" s="247"/>
      <c r="D48" s="247"/>
      <c r="E48" s="28"/>
      <c r="F48" s="247"/>
      <c r="G48" s="247"/>
      <c r="H48" s="247" t="str">
        <f t="shared" si="0"/>
        <v/>
      </c>
      <c r="I48" s="247"/>
      <c r="J48" s="247"/>
      <c r="K48" s="247"/>
      <c r="L48" s="21" t="str">
        <f t="shared" si="1"/>
        <v/>
      </c>
      <c r="M48" s="37"/>
    </row>
    <row r="49" spans="1:13" ht="16.5" customHeight="1" x14ac:dyDescent="0.25">
      <c r="A49" s="259"/>
      <c r="B49" s="247"/>
      <c r="C49" s="247"/>
      <c r="D49" s="247"/>
      <c r="E49" s="28"/>
      <c r="F49" s="247"/>
      <c r="G49" s="247"/>
      <c r="H49" s="247" t="str">
        <f t="shared" si="0"/>
        <v/>
      </c>
      <c r="I49" s="247"/>
      <c r="J49" s="247"/>
      <c r="K49" s="247"/>
      <c r="L49" s="21" t="str">
        <f t="shared" si="1"/>
        <v/>
      </c>
      <c r="M49" s="37"/>
    </row>
    <row r="50" spans="1:13" ht="16.5" customHeight="1" thickBot="1" x14ac:dyDescent="0.3">
      <c r="A50" s="267"/>
      <c r="B50" s="266"/>
      <c r="C50" s="266"/>
      <c r="D50" s="266"/>
      <c r="E50" s="29"/>
      <c r="F50" s="266"/>
      <c r="G50" s="266"/>
      <c r="H50" s="266" t="str">
        <f t="shared" si="0"/>
        <v/>
      </c>
      <c r="I50" s="266"/>
      <c r="J50" s="266"/>
      <c r="K50" s="266"/>
      <c r="L50" s="23" t="str">
        <f t="shared" si="1"/>
        <v/>
      </c>
      <c r="M50" s="37"/>
    </row>
    <row r="51" spans="1:13" ht="16.5" customHeight="1" thickBot="1" x14ac:dyDescent="0.3">
      <c r="A51" s="39"/>
      <c r="B51" s="39"/>
      <c r="C51" s="39"/>
      <c r="D51" s="39"/>
      <c r="E51" s="39"/>
      <c r="F51" s="39"/>
      <c r="G51" s="39"/>
      <c r="H51" s="39"/>
      <c r="I51" s="39"/>
      <c r="J51" s="39"/>
      <c r="K51" s="39"/>
      <c r="L51" s="39"/>
      <c r="M51" s="39"/>
    </row>
    <row r="52" spans="1:13" ht="16.5" customHeight="1" thickBot="1" x14ac:dyDescent="0.3">
      <c r="A52" s="260" t="s">
        <v>24</v>
      </c>
      <c r="B52" s="261"/>
      <c r="C52" s="261"/>
      <c r="D52" s="261"/>
      <c r="E52" s="261"/>
      <c r="F52" s="261"/>
      <c r="G52" s="261"/>
      <c r="H52" s="261"/>
      <c r="I52" s="261"/>
      <c r="J52" s="261"/>
      <c r="K52" s="261"/>
      <c r="L52" s="262"/>
      <c r="M52" s="37"/>
    </row>
    <row r="53" spans="1:13" ht="16.5" customHeight="1" x14ac:dyDescent="0.25">
      <c r="A53" s="250"/>
      <c r="B53" s="251"/>
      <c r="C53" s="251"/>
      <c r="D53" s="251"/>
      <c r="E53" s="251"/>
      <c r="F53" s="251"/>
      <c r="G53" s="251"/>
      <c r="H53" s="251"/>
      <c r="I53" s="251"/>
      <c r="J53" s="251"/>
      <c r="K53" s="251"/>
      <c r="L53" s="252"/>
      <c r="M53" s="37"/>
    </row>
    <row r="54" spans="1:13" ht="16.5" customHeight="1" x14ac:dyDescent="0.25">
      <c r="A54" s="253"/>
      <c r="B54" s="254"/>
      <c r="C54" s="254"/>
      <c r="D54" s="254"/>
      <c r="E54" s="254"/>
      <c r="F54" s="254"/>
      <c r="G54" s="254"/>
      <c r="H54" s="254"/>
      <c r="I54" s="254"/>
      <c r="J54" s="254"/>
      <c r="K54" s="254"/>
      <c r="L54" s="255"/>
      <c r="M54" s="37"/>
    </row>
    <row r="55" spans="1:13" ht="16.5" customHeight="1" thickBot="1" x14ac:dyDescent="0.3">
      <c r="A55" s="256"/>
      <c r="B55" s="257"/>
      <c r="C55" s="257"/>
      <c r="D55" s="257"/>
      <c r="E55" s="257"/>
      <c r="F55" s="257"/>
      <c r="G55" s="257"/>
      <c r="H55" s="257"/>
      <c r="I55" s="257"/>
      <c r="J55" s="257"/>
      <c r="K55" s="257"/>
      <c r="L55" s="258"/>
      <c r="M55" s="37"/>
    </row>
    <row r="56" spans="1:13" ht="16.5" customHeight="1" x14ac:dyDescent="0.25">
      <c r="A56" s="37"/>
      <c r="B56" s="37"/>
      <c r="C56" s="37"/>
      <c r="D56" s="37"/>
      <c r="E56" s="37"/>
      <c r="F56" s="37"/>
      <c r="G56" s="37"/>
      <c r="H56" s="37"/>
      <c r="I56" s="37"/>
      <c r="J56" s="37"/>
      <c r="K56" s="37"/>
      <c r="L56" s="37"/>
      <c r="M56" s="39"/>
    </row>
    <row r="57" spans="1:13" ht="21.75" customHeight="1" x14ac:dyDescent="0.25">
      <c r="A57" s="292" t="s">
        <v>47</v>
      </c>
      <c r="B57" s="293"/>
      <c r="C57" s="293"/>
      <c r="D57" s="293"/>
      <c r="E57" s="293"/>
      <c r="F57" s="293"/>
      <c r="G57" s="293"/>
      <c r="H57" s="293"/>
      <c r="I57" s="293"/>
      <c r="J57" s="293"/>
      <c r="K57" s="293"/>
      <c r="L57" s="293"/>
      <c r="M57" s="39"/>
    </row>
    <row r="58" spans="1:13" ht="21.75" customHeight="1" x14ac:dyDescent="0.25">
      <c r="A58" s="293"/>
      <c r="B58" s="293"/>
      <c r="C58" s="293"/>
      <c r="D58" s="293"/>
      <c r="E58" s="293"/>
      <c r="F58" s="293"/>
      <c r="G58" s="293"/>
      <c r="H58" s="293"/>
      <c r="I58" s="293"/>
      <c r="J58" s="293"/>
      <c r="K58" s="293"/>
      <c r="L58" s="293"/>
      <c r="M58" s="39"/>
    </row>
    <row r="59" spans="1:13" ht="16.5" customHeight="1" x14ac:dyDescent="0.25">
      <c r="A59" s="40"/>
      <c r="B59" s="40"/>
      <c r="C59" s="40"/>
      <c r="D59" s="40"/>
      <c r="E59" s="40"/>
      <c r="F59" s="40"/>
      <c r="G59" s="40"/>
      <c r="H59" s="40"/>
      <c r="I59" s="40"/>
      <c r="J59" s="40"/>
      <c r="K59" s="40"/>
      <c r="L59" s="40"/>
      <c r="M59" s="39"/>
    </row>
    <row r="60" spans="1:13" ht="16.5" customHeight="1" x14ac:dyDescent="0.25">
      <c r="A60" s="37"/>
      <c r="B60" s="37"/>
      <c r="C60" s="41"/>
      <c r="D60" s="41"/>
      <c r="E60" s="41"/>
      <c r="F60" s="37"/>
      <c r="G60" s="37"/>
      <c r="H60" s="37"/>
      <c r="I60" s="37"/>
      <c r="J60" s="37"/>
      <c r="K60" s="37"/>
      <c r="L60" s="37"/>
      <c r="M60" s="39"/>
    </row>
    <row r="61" spans="1:13" ht="16.5" customHeight="1" thickBot="1" x14ac:dyDescent="0.3">
      <c r="A61" s="287" t="s">
        <v>12</v>
      </c>
      <c r="B61" s="287"/>
      <c r="C61" s="286"/>
      <c r="D61" s="286"/>
      <c r="E61" s="286"/>
      <c r="F61" s="41"/>
      <c r="G61" s="287" t="s">
        <v>40</v>
      </c>
      <c r="H61" s="287"/>
      <c r="I61" s="286"/>
      <c r="J61" s="286"/>
      <c r="K61" s="286"/>
      <c r="L61" s="37"/>
      <c r="M61" s="39"/>
    </row>
    <row r="62" spans="1:13" ht="16.5" customHeight="1" x14ac:dyDescent="0.25">
      <c r="A62" s="37"/>
      <c r="B62" s="37"/>
      <c r="C62" s="37"/>
      <c r="D62" s="37"/>
      <c r="E62" s="37"/>
      <c r="F62" s="37"/>
      <c r="G62" s="37"/>
      <c r="H62" s="37"/>
      <c r="I62" s="37"/>
      <c r="J62" s="37"/>
      <c r="K62" s="37"/>
      <c r="L62" s="37"/>
      <c r="M62" s="39"/>
    </row>
    <row r="63" spans="1:13" ht="16.5" customHeight="1" thickBot="1" x14ac:dyDescent="0.3">
      <c r="A63" s="287" t="s">
        <v>49</v>
      </c>
      <c r="B63" s="287"/>
      <c r="C63" s="286"/>
      <c r="D63" s="286"/>
      <c r="E63" s="286"/>
      <c r="F63" s="37"/>
      <c r="G63" s="287" t="s">
        <v>41</v>
      </c>
      <c r="H63" s="287"/>
      <c r="I63" s="286"/>
      <c r="J63" s="286"/>
      <c r="K63" s="286"/>
      <c r="L63" s="37"/>
      <c r="M63" s="39"/>
    </row>
    <row r="64" spans="1:13" ht="16.5" customHeight="1" x14ac:dyDescent="0.25">
      <c r="A64" s="288"/>
      <c r="B64" s="288"/>
      <c r="C64" s="288"/>
      <c r="D64" s="288"/>
      <c r="E64" s="288"/>
      <c r="F64" s="288"/>
      <c r="G64" s="288"/>
      <c r="H64" s="288"/>
      <c r="I64" s="288"/>
      <c r="J64" s="288"/>
      <c r="K64" s="288"/>
      <c r="L64" s="288"/>
      <c r="M64" s="37"/>
    </row>
    <row r="65" spans="1:13" ht="16.5" customHeight="1" x14ac:dyDescent="0.25">
      <c r="A65" s="40"/>
      <c r="B65" s="40"/>
      <c r="C65" s="40"/>
      <c r="D65" s="40"/>
      <c r="E65" s="40"/>
      <c r="F65" s="40"/>
      <c r="G65" s="40"/>
      <c r="H65" s="40"/>
      <c r="I65" s="40"/>
      <c r="J65" s="40"/>
      <c r="K65" s="40"/>
      <c r="L65" s="40"/>
      <c r="M65" s="37"/>
    </row>
    <row r="66" spans="1:13" ht="16.5" customHeight="1" x14ac:dyDescent="0.25">
      <c r="A66" s="37"/>
      <c r="B66" s="37"/>
      <c r="C66" s="37"/>
      <c r="D66" s="37"/>
      <c r="E66" s="37"/>
      <c r="F66" s="37"/>
      <c r="G66" s="37"/>
      <c r="H66" s="37"/>
      <c r="I66" s="37"/>
      <c r="J66" s="37"/>
      <c r="K66" s="37"/>
      <c r="L66" s="37"/>
      <c r="M66" s="37"/>
    </row>
  </sheetData>
  <mergeCells count="16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28:B28"/>
    <mergeCell ref="C28:H28"/>
    <mergeCell ref="I28:J28"/>
    <mergeCell ref="K28:L28"/>
    <mergeCell ref="A29:B29"/>
    <mergeCell ref="C29:D29"/>
    <mergeCell ref="E29:F29"/>
    <mergeCell ref="G29:H29"/>
    <mergeCell ref="I29:J29"/>
    <mergeCell ref="K29:L29"/>
    <mergeCell ref="A31:B31"/>
    <mergeCell ref="C31:D31"/>
    <mergeCell ref="E31:F31"/>
    <mergeCell ref="G31:H31"/>
    <mergeCell ref="I31:J31"/>
    <mergeCell ref="K31:L31"/>
    <mergeCell ref="A30:B30"/>
    <mergeCell ref="C30:D30"/>
    <mergeCell ref="E30:F30"/>
    <mergeCell ref="G30:H30"/>
    <mergeCell ref="I30:J30"/>
    <mergeCell ref="K30:L30"/>
    <mergeCell ref="A34:B34"/>
    <mergeCell ref="C34:D34"/>
    <mergeCell ref="E34:F34"/>
    <mergeCell ref="G34:H34"/>
    <mergeCell ref="I34:J34"/>
    <mergeCell ref="K34:L34"/>
    <mergeCell ref="A32:B32"/>
    <mergeCell ref="C32:L32"/>
    <mergeCell ref="A33:D33"/>
    <mergeCell ref="E33:F33"/>
    <mergeCell ref="G33:H33"/>
    <mergeCell ref="I33:J33"/>
    <mergeCell ref="K33:L33"/>
    <mergeCell ref="A40:L40"/>
    <mergeCell ref="A41:B41"/>
    <mergeCell ref="C41:D41"/>
    <mergeCell ref="F41:G41"/>
    <mergeCell ref="H41:I41"/>
    <mergeCell ref="J41:K41"/>
    <mergeCell ref="A35:B35"/>
    <mergeCell ref="C35:L35"/>
    <mergeCell ref="A37:L37"/>
    <mergeCell ref="A38:B38"/>
    <mergeCell ref="D38:E38"/>
    <mergeCell ref="G38:H38"/>
    <mergeCell ref="J38:K38"/>
    <mergeCell ref="A42:B42"/>
    <mergeCell ref="C42:D42"/>
    <mergeCell ref="F42:G42"/>
    <mergeCell ref="H42:I42"/>
    <mergeCell ref="J42:K42"/>
    <mergeCell ref="A43:B43"/>
    <mergeCell ref="C43:D43"/>
    <mergeCell ref="F43:G43"/>
    <mergeCell ref="H43:I43"/>
    <mergeCell ref="J43:K43"/>
    <mergeCell ref="A44:B44"/>
    <mergeCell ref="C44:D44"/>
    <mergeCell ref="F44:G44"/>
    <mergeCell ref="H44:I44"/>
    <mergeCell ref="J44:K44"/>
    <mergeCell ref="A45:B45"/>
    <mergeCell ref="C45:D45"/>
    <mergeCell ref="F45:G45"/>
    <mergeCell ref="H45:I45"/>
    <mergeCell ref="J45:K45"/>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s>
  <conditionalFormatting sqref="L42:L50">
    <cfRule type="containsText" dxfId="11" priority="1" operator="containsText" text="Fail">
      <formula>NOT(ISERROR(SEARCH("Fail",L42)))</formula>
    </cfRule>
    <cfRule type="containsText" dxfId="10"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289"/>
      <c r="B1" s="289"/>
      <c r="C1" s="289"/>
      <c r="D1" s="289"/>
      <c r="E1" s="290" t="s">
        <v>48</v>
      </c>
      <c r="F1" s="290"/>
      <c r="G1" s="290"/>
      <c r="H1" s="290"/>
      <c r="I1" s="290"/>
      <c r="J1" s="290"/>
      <c r="K1" s="290"/>
      <c r="L1" s="290"/>
      <c r="M1" s="32"/>
    </row>
    <row r="2" spans="1:13" customFormat="1" ht="15.75" customHeight="1" x14ac:dyDescent="0.25">
      <c r="A2" s="289"/>
      <c r="B2" s="289"/>
      <c r="C2" s="289"/>
      <c r="D2" s="289"/>
      <c r="E2" s="290"/>
      <c r="F2" s="290"/>
      <c r="G2" s="290"/>
      <c r="H2" s="290"/>
      <c r="I2" s="290"/>
      <c r="J2" s="290"/>
      <c r="K2" s="290"/>
      <c r="L2" s="290"/>
      <c r="M2" s="32"/>
    </row>
    <row r="3" spans="1:13" customFormat="1" ht="15.75" customHeight="1" x14ac:dyDescent="0.25">
      <c r="A3" s="289"/>
      <c r="B3" s="289"/>
      <c r="C3" s="289"/>
      <c r="D3" s="289"/>
      <c r="E3" s="290"/>
      <c r="F3" s="290"/>
      <c r="G3" s="290"/>
      <c r="H3" s="290"/>
      <c r="I3" s="290"/>
      <c r="J3" s="290"/>
      <c r="K3" s="290"/>
      <c r="L3" s="290"/>
      <c r="M3" s="32"/>
    </row>
    <row r="4" spans="1:13" customFormat="1" ht="15.75" customHeight="1" x14ac:dyDescent="0.25">
      <c r="A4" s="289"/>
      <c r="B4" s="289"/>
      <c r="C4" s="289"/>
      <c r="D4" s="289"/>
      <c r="E4" s="299" t="s">
        <v>2605</v>
      </c>
      <c r="F4" s="299"/>
      <c r="G4" s="299"/>
      <c r="H4" s="299"/>
      <c r="I4" s="299"/>
      <c r="J4" s="299"/>
      <c r="K4" s="299"/>
      <c r="L4" s="299"/>
      <c r="M4" s="32"/>
    </row>
    <row r="5" spans="1:13" customFormat="1" ht="15.75" customHeight="1" x14ac:dyDescent="0.25">
      <c r="A5" s="289"/>
      <c r="B5" s="289"/>
      <c r="C5" s="289"/>
      <c r="D5" s="289"/>
      <c r="E5" s="299"/>
      <c r="F5" s="299"/>
      <c r="G5" s="299"/>
      <c r="H5" s="299"/>
      <c r="I5" s="299"/>
      <c r="J5" s="299"/>
      <c r="K5" s="299"/>
      <c r="L5" s="299"/>
      <c r="M5" s="32"/>
    </row>
    <row r="6" spans="1:13" customFormat="1" ht="15.75" customHeight="1" x14ac:dyDescent="0.25">
      <c r="A6" s="289"/>
      <c r="B6" s="289"/>
      <c r="C6" s="289"/>
      <c r="D6" s="289"/>
      <c r="E6" s="299"/>
      <c r="F6" s="299"/>
      <c r="G6" s="299"/>
      <c r="H6" s="299"/>
      <c r="I6" s="299"/>
      <c r="J6" s="299"/>
      <c r="K6" s="299"/>
      <c r="L6" s="299"/>
      <c r="M6" s="32"/>
    </row>
    <row r="7" spans="1:13" customFormat="1" ht="16.5" customHeight="1" x14ac:dyDescent="0.25">
      <c r="A7" s="32"/>
      <c r="B7" s="32"/>
      <c r="C7" s="32"/>
      <c r="D7" s="32"/>
      <c r="E7" s="101"/>
      <c r="F7" s="101"/>
      <c r="G7" s="101"/>
      <c r="H7" s="101"/>
      <c r="I7" s="101"/>
      <c r="J7" s="101"/>
      <c r="K7" s="101"/>
      <c r="L7" s="101"/>
      <c r="M7" s="32"/>
    </row>
    <row r="8" spans="1:13" customFormat="1" ht="16.5" customHeight="1" thickBot="1" x14ac:dyDescent="0.3">
      <c r="A8" s="32"/>
      <c r="B8" s="32"/>
      <c r="C8" s="32"/>
      <c r="D8" s="32"/>
      <c r="E8" s="43"/>
      <c r="F8" s="43"/>
      <c r="G8" s="43"/>
      <c r="H8" s="43"/>
      <c r="I8" s="43"/>
      <c r="J8" s="43"/>
      <c r="K8" s="43"/>
      <c r="L8" s="43"/>
      <c r="M8" s="32"/>
    </row>
    <row r="9" spans="1:13" ht="18.75" customHeight="1" thickBot="1" x14ac:dyDescent="0.3">
      <c r="A9" s="260" t="s">
        <v>28</v>
      </c>
      <c r="B9" s="261"/>
      <c r="C9" s="261"/>
      <c r="D9" s="261"/>
      <c r="E9" s="261"/>
      <c r="F9" s="262"/>
      <c r="G9" s="260" t="s">
        <v>29</v>
      </c>
      <c r="H9" s="261"/>
      <c r="I9" s="261"/>
      <c r="J9" s="261"/>
      <c r="K9" s="261"/>
      <c r="L9" s="262"/>
      <c r="M9" s="37"/>
    </row>
    <row r="10" spans="1:13" ht="18.75" customHeight="1" x14ac:dyDescent="0.25">
      <c r="A10" s="272" t="s">
        <v>31</v>
      </c>
      <c r="B10" s="270"/>
      <c r="C10" s="323"/>
      <c r="D10" s="323"/>
      <c r="E10" s="323"/>
      <c r="F10" s="324"/>
      <c r="G10" s="272" t="s">
        <v>36</v>
      </c>
      <c r="H10" s="270"/>
      <c r="I10" s="275"/>
      <c r="J10" s="275"/>
      <c r="K10" s="275"/>
      <c r="L10" s="276"/>
      <c r="M10" s="37"/>
    </row>
    <row r="11" spans="1:13" ht="18.75" customHeight="1" x14ac:dyDescent="0.25">
      <c r="A11" s="245" t="s">
        <v>32</v>
      </c>
      <c r="B11" s="246"/>
      <c r="C11" s="247"/>
      <c r="D11" s="247"/>
      <c r="E11" s="247"/>
      <c r="F11" s="269"/>
      <c r="G11" s="245" t="s">
        <v>37</v>
      </c>
      <c r="H11" s="246"/>
      <c r="I11" s="247"/>
      <c r="J11" s="247"/>
      <c r="K11" s="247"/>
      <c r="L11" s="269"/>
      <c r="M11" s="37"/>
    </row>
    <row r="12" spans="1:13" ht="18.75" customHeight="1" x14ac:dyDescent="0.25">
      <c r="A12" s="245"/>
      <c r="B12" s="246"/>
      <c r="C12" s="247"/>
      <c r="D12" s="247"/>
      <c r="E12" s="247"/>
      <c r="F12" s="269"/>
      <c r="G12" s="245" t="s">
        <v>38</v>
      </c>
      <c r="H12" s="246"/>
      <c r="I12" s="247"/>
      <c r="J12" s="247"/>
      <c r="K12" s="247"/>
      <c r="L12" s="269"/>
      <c r="M12" s="37"/>
    </row>
    <row r="13" spans="1:13" ht="18.75" customHeight="1" x14ac:dyDescent="0.25">
      <c r="A13" s="245"/>
      <c r="B13" s="246"/>
      <c r="C13" s="247"/>
      <c r="D13" s="247"/>
      <c r="E13" s="247"/>
      <c r="F13" s="269"/>
      <c r="G13" s="245" t="s">
        <v>39</v>
      </c>
      <c r="H13" s="246"/>
      <c r="I13" s="247" t="s">
        <v>50</v>
      </c>
      <c r="J13" s="247"/>
      <c r="K13" s="247"/>
      <c r="L13" s="269"/>
      <c r="M13" s="37"/>
    </row>
    <row r="14" spans="1:13" ht="18.75" customHeight="1" x14ac:dyDescent="0.25">
      <c r="A14" s="245"/>
      <c r="B14" s="246"/>
      <c r="C14" s="247" t="s">
        <v>1784</v>
      </c>
      <c r="D14" s="247"/>
      <c r="E14" s="247"/>
      <c r="F14" s="269"/>
      <c r="G14" s="245" t="s">
        <v>34</v>
      </c>
      <c r="H14" s="246"/>
      <c r="I14" s="279"/>
      <c r="J14" s="279"/>
      <c r="K14" s="279"/>
      <c r="L14" s="280"/>
      <c r="M14" s="37"/>
    </row>
    <row r="15" spans="1:13" ht="18.75" customHeight="1" thickBot="1" x14ac:dyDescent="0.3">
      <c r="A15" s="277" t="s">
        <v>33</v>
      </c>
      <c r="B15" s="278"/>
      <c r="C15" s="319"/>
      <c r="D15" s="319"/>
      <c r="E15" s="319"/>
      <c r="F15" s="320"/>
      <c r="G15" s="277" t="s">
        <v>35</v>
      </c>
      <c r="H15" s="278"/>
      <c r="I15" s="281"/>
      <c r="J15" s="281"/>
      <c r="K15" s="281"/>
      <c r="L15" s="282"/>
      <c r="M15" s="37"/>
    </row>
    <row r="16" spans="1:13" ht="15.75" customHeight="1" x14ac:dyDescent="0.25">
      <c r="A16" s="67"/>
      <c r="B16" s="67"/>
      <c r="C16" s="149"/>
      <c r="D16" s="149"/>
      <c r="E16" s="149"/>
      <c r="F16" s="149"/>
      <c r="G16" s="67"/>
      <c r="H16" s="67"/>
      <c r="I16" s="68"/>
      <c r="J16" s="68"/>
      <c r="K16" s="68"/>
      <c r="L16" s="68"/>
      <c r="M16" s="37"/>
    </row>
    <row r="17" spans="1:19" ht="16.5" customHeight="1" x14ac:dyDescent="0.25">
      <c r="A17" s="37"/>
      <c r="B17" s="37"/>
      <c r="C17" s="37"/>
      <c r="D17" s="37"/>
      <c r="E17" s="37"/>
      <c r="F17" s="37"/>
      <c r="G17" s="37"/>
      <c r="H17" s="37"/>
      <c r="I17" s="37"/>
      <c r="J17" s="37"/>
      <c r="K17" s="37"/>
      <c r="L17" s="37"/>
      <c r="M17" s="87"/>
    </row>
    <row r="18" spans="1:19" ht="29.25" customHeight="1" x14ac:dyDescent="0.25">
      <c r="A18" s="292" t="s">
        <v>1768</v>
      </c>
      <c r="B18" s="292"/>
      <c r="C18" s="292"/>
      <c r="D18" s="292"/>
      <c r="E18" s="292"/>
      <c r="F18" s="292"/>
      <c r="G18" s="292"/>
      <c r="H18" s="292"/>
      <c r="I18" s="292"/>
      <c r="J18" s="292"/>
      <c r="K18" s="292"/>
      <c r="L18" s="292"/>
      <c r="M18" s="87"/>
    </row>
    <row r="19" spans="1:19" ht="29.25" customHeight="1" x14ac:dyDescent="0.25">
      <c r="A19" s="292"/>
      <c r="B19" s="292"/>
      <c r="C19" s="292"/>
      <c r="D19" s="292"/>
      <c r="E19" s="292"/>
      <c r="F19" s="292"/>
      <c r="G19" s="292"/>
      <c r="H19" s="292"/>
      <c r="I19" s="292"/>
      <c r="J19" s="292"/>
      <c r="K19" s="292"/>
      <c r="L19" s="292"/>
      <c r="M19" s="87"/>
    </row>
    <row r="20" spans="1:19" ht="16.5" customHeight="1" x14ac:dyDescent="0.25">
      <c r="A20" s="148"/>
      <c r="B20" s="148"/>
      <c r="C20" s="148"/>
      <c r="D20" s="148"/>
      <c r="E20" s="148"/>
      <c r="F20" s="148"/>
      <c r="G20" s="148"/>
      <c r="H20" s="148"/>
      <c r="I20" s="148"/>
      <c r="J20" s="148"/>
      <c r="K20" s="148"/>
      <c r="L20" s="148"/>
      <c r="M20" s="147"/>
    </row>
    <row r="21" spans="1:19" ht="16.5" customHeight="1" thickBot="1" x14ac:dyDescent="0.3">
      <c r="A21" s="37"/>
      <c r="B21" s="37"/>
      <c r="C21" s="37"/>
      <c r="D21" s="37"/>
      <c r="E21" s="37"/>
      <c r="F21" s="37"/>
      <c r="G21" s="37"/>
      <c r="H21" s="37"/>
      <c r="I21" s="37"/>
      <c r="J21" s="37"/>
      <c r="K21" s="37"/>
      <c r="L21" s="37"/>
      <c r="M21" s="87"/>
    </row>
    <row r="22" spans="1:19" ht="19.5" customHeight="1" thickBot="1" x14ac:dyDescent="0.3">
      <c r="A22" s="260" t="s">
        <v>20</v>
      </c>
      <c r="B22" s="261"/>
      <c r="C22" s="261"/>
      <c r="D22" s="261"/>
      <c r="E22" s="261"/>
      <c r="F22" s="261"/>
      <c r="G22" s="261"/>
      <c r="H22" s="261"/>
      <c r="I22" s="261"/>
      <c r="J22" s="261"/>
      <c r="K22" s="261"/>
      <c r="L22" s="262"/>
      <c r="M22" s="37"/>
    </row>
    <row r="23" spans="1:19" ht="19.5" customHeight="1" x14ac:dyDescent="0.25">
      <c r="A23" s="272" t="s">
        <v>23</v>
      </c>
      <c r="B23" s="270"/>
      <c r="C23" s="270"/>
      <c r="D23" s="270"/>
      <c r="E23" s="270" t="s">
        <v>22</v>
      </c>
      <c r="F23" s="270"/>
      <c r="G23" s="270" t="s">
        <v>21</v>
      </c>
      <c r="H23" s="270"/>
      <c r="I23" s="270" t="s">
        <v>53</v>
      </c>
      <c r="J23" s="270"/>
      <c r="K23" s="270" t="s">
        <v>54</v>
      </c>
      <c r="L23" s="271"/>
      <c r="M23" s="37"/>
    </row>
    <row r="24" spans="1:19" ht="19.5" customHeight="1" x14ac:dyDescent="0.25">
      <c r="A24" s="321"/>
      <c r="B24" s="317"/>
      <c r="C24" s="317"/>
      <c r="D24" s="317"/>
      <c r="E24" s="317"/>
      <c r="F24" s="317"/>
      <c r="G24" s="317"/>
      <c r="H24" s="317"/>
      <c r="I24" s="317"/>
      <c r="J24" s="317"/>
      <c r="K24" s="317"/>
      <c r="L24" s="322"/>
      <c r="M24" s="37"/>
    </row>
    <row r="25" spans="1:19" ht="19.5" customHeight="1" x14ac:dyDescent="0.25">
      <c r="A25" s="321"/>
      <c r="B25" s="317"/>
      <c r="C25" s="317"/>
      <c r="D25" s="317"/>
      <c r="E25" s="317"/>
      <c r="F25" s="317"/>
      <c r="G25" s="317"/>
      <c r="H25" s="317"/>
      <c r="I25" s="317"/>
      <c r="J25" s="317"/>
      <c r="K25" s="317"/>
      <c r="L25" s="322"/>
      <c r="M25" s="37"/>
    </row>
    <row r="26" spans="1:19" ht="19.5" customHeight="1" x14ac:dyDescent="0.25">
      <c r="A26" s="321"/>
      <c r="B26" s="317"/>
      <c r="C26" s="317"/>
      <c r="D26" s="317"/>
      <c r="E26" s="317"/>
      <c r="F26" s="317"/>
      <c r="G26" s="317"/>
      <c r="H26" s="317"/>
      <c r="I26" s="317"/>
      <c r="J26" s="317"/>
      <c r="K26" s="317"/>
      <c r="L26" s="322"/>
      <c r="M26" s="37"/>
    </row>
    <row r="27" spans="1:19" ht="19.5" customHeight="1" x14ac:dyDescent="0.25">
      <c r="A27" s="321" t="s">
        <v>1785</v>
      </c>
      <c r="B27" s="317"/>
      <c r="C27" s="317"/>
      <c r="D27" s="317"/>
      <c r="E27" s="317" t="s">
        <v>1785</v>
      </c>
      <c r="F27" s="317"/>
      <c r="G27" s="317" t="s">
        <v>1785</v>
      </c>
      <c r="H27" s="317"/>
      <c r="I27" s="317" t="s">
        <v>1785</v>
      </c>
      <c r="J27" s="317"/>
      <c r="K27" s="317" t="s">
        <v>1785</v>
      </c>
      <c r="L27" s="322"/>
      <c r="M27" s="37"/>
    </row>
    <row r="28" spans="1:19" ht="19.5" customHeight="1" thickBot="1" x14ac:dyDescent="0.3">
      <c r="A28" s="318" t="s">
        <v>1785</v>
      </c>
      <c r="B28" s="319"/>
      <c r="C28" s="319"/>
      <c r="D28" s="319"/>
      <c r="E28" s="319" t="s">
        <v>1785</v>
      </c>
      <c r="F28" s="319"/>
      <c r="G28" s="319" t="s">
        <v>1785</v>
      </c>
      <c r="H28" s="319"/>
      <c r="I28" s="319" t="s">
        <v>1785</v>
      </c>
      <c r="J28" s="319"/>
      <c r="K28" s="319" t="s">
        <v>1785</v>
      </c>
      <c r="L28" s="320"/>
      <c r="M28" s="37"/>
    </row>
    <row r="29" spans="1:19" ht="16.5" customHeight="1" x14ac:dyDescent="0.25">
      <c r="A29" s="102"/>
      <c r="B29" s="102"/>
      <c r="C29" s="102"/>
      <c r="D29" s="102"/>
      <c r="E29" s="102"/>
      <c r="F29" s="102"/>
      <c r="G29" s="102"/>
      <c r="H29" s="102"/>
      <c r="I29" s="102"/>
      <c r="J29" s="102"/>
      <c r="K29" s="102"/>
      <c r="L29" s="102"/>
      <c r="M29" s="37"/>
    </row>
    <row r="30" spans="1:19" ht="16.5" customHeight="1" thickBot="1" x14ac:dyDescent="0.3">
      <c r="A30" s="37"/>
      <c r="B30" s="37"/>
      <c r="C30" s="37"/>
      <c r="D30" s="37"/>
      <c r="E30" s="37"/>
      <c r="F30" s="37"/>
      <c r="G30" s="37"/>
      <c r="H30" s="37"/>
      <c r="I30" s="37"/>
      <c r="J30" s="37"/>
      <c r="K30" s="37"/>
      <c r="L30" s="37"/>
      <c r="M30" s="87"/>
    </row>
    <row r="31" spans="1:19" ht="19.5" customHeight="1" thickBot="1" x14ac:dyDescent="0.3">
      <c r="A31" s="260" t="s">
        <v>13</v>
      </c>
      <c r="B31" s="261"/>
      <c r="C31" s="261"/>
      <c r="D31" s="261"/>
      <c r="E31" s="261"/>
      <c r="F31" s="261"/>
      <c r="G31" s="261"/>
      <c r="H31" s="261"/>
      <c r="I31" s="261"/>
      <c r="J31" s="261"/>
      <c r="K31" s="261"/>
      <c r="L31" s="262"/>
      <c r="M31" s="37"/>
    </row>
    <row r="32" spans="1:19" ht="19.5" customHeight="1" x14ac:dyDescent="0.25">
      <c r="A32" s="272" t="s">
        <v>30</v>
      </c>
      <c r="B32" s="270"/>
      <c r="C32" s="283" t="str">
        <f>IF(C34="","",LOOKUP(C34,Models,Description))</f>
        <v/>
      </c>
      <c r="D32" s="283"/>
      <c r="E32" s="283"/>
      <c r="F32" s="283"/>
      <c r="G32" s="283"/>
      <c r="H32" s="283"/>
      <c r="I32" s="270" t="s">
        <v>25</v>
      </c>
      <c r="J32" s="270"/>
      <c r="K32" s="283" t="s">
        <v>1769</v>
      </c>
      <c r="L32" s="284"/>
      <c r="M32" s="37"/>
      <c r="N32" s="131"/>
      <c r="O32" s="131"/>
      <c r="P32" s="131"/>
      <c r="Q32" s="131"/>
      <c r="R32" s="131"/>
      <c r="S32" s="131"/>
    </row>
    <row r="33" spans="1:13" ht="19.5" customHeight="1" x14ac:dyDescent="0.25">
      <c r="A33" s="245" t="s">
        <v>15</v>
      </c>
      <c r="B33" s="246"/>
      <c r="C33" s="317"/>
      <c r="D33" s="317"/>
      <c r="E33" s="246" t="s">
        <v>16</v>
      </c>
      <c r="F33" s="246"/>
      <c r="G33" s="247"/>
      <c r="H33" s="247"/>
      <c r="I33" s="246" t="s">
        <v>18</v>
      </c>
      <c r="J33" s="246"/>
      <c r="K33" s="247"/>
      <c r="L33" s="269"/>
      <c r="M33" s="37"/>
    </row>
    <row r="34" spans="1:13" ht="19.5" customHeight="1" x14ac:dyDescent="0.25">
      <c r="A34" s="245" t="s">
        <v>14</v>
      </c>
      <c r="B34" s="246"/>
      <c r="C34" s="247"/>
      <c r="D34" s="247"/>
      <c r="E34" s="246" t="s">
        <v>42</v>
      </c>
      <c r="F34" s="246"/>
      <c r="G34" s="247"/>
      <c r="H34" s="247"/>
      <c r="I34" s="246" t="s">
        <v>43</v>
      </c>
      <c r="J34" s="246"/>
      <c r="K34" s="247"/>
      <c r="L34" s="269"/>
      <c r="M34" s="37"/>
    </row>
    <row r="35" spans="1:13" ht="19.5" customHeight="1" x14ac:dyDescent="0.25">
      <c r="A35" s="245" t="s">
        <v>17</v>
      </c>
      <c r="B35" s="246"/>
      <c r="C35" s="247"/>
      <c r="D35" s="247"/>
      <c r="E35" s="246" t="s">
        <v>26</v>
      </c>
      <c r="F35" s="246"/>
      <c r="G35" s="247"/>
      <c r="H35" s="247"/>
      <c r="I35" s="246" t="s">
        <v>27</v>
      </c>
      <c r="J35" s="246"/>
      <c r="K35" s="247"/>
      <c r="L35" s="269"/>
      <c r="M35" s="37"/>
    </row>
    <row r="36" spans="1:13" ht="33.75" customHeight="1" x14ac:dyDescent="0.25">
      <c r="A36" s="245" t="s">
        <v>19</v>
      </c>
      <c r="B36" s="246"/>
      <c r="C36" s="406" t="str">
        <f>IF(C34="","",LOOKUP(C34,Models,Accuracy))</f>
        <v/>
      </c>
      <c r="D36" s="406"/>
      <c r="E36" s="406"/>
      <c r="F36" s="406"/>
      <c r="G36" s="406"/>
      <c r="H36" s="406"/>
      <c r="I36" s="406"/>
      <c r="J36" s="406"/>
      <c r="K36" s="406"/>
      <c r="L36" s="407"/>
      <c r="M36" s="37"/>
    </row>
    <row r="37" spans="1:13" ht="18.75" customHeight="1" x14ac:dyDescent="0.25">
      <c r="A37" s="397"/>
      <c r="B37" s="398"/>
      <c r="C37" s="398"/>
      <c r="D37" s="399"/>
      <c r="E37" s="246" t="s">
        <v>55</v>
      </c>
      <c r="F37" s="246"/>
      <c r="G37" s="247"/>
      <c r="H37" s="247"/>
      <c r="I37" s="246" t="s">
        <v>43</v>
      </c>
      <c r="J37" s="246"/>
      <c r="K37" s="247"/>
      <c r="L37" s="269"/>
      <c r="M37" s="37"/>
    </row>
    <row r="38" spans="1:13" ht="18.75" customHeight="1" x14ac:dyDescent="0.25">
      <c r="A38" s="245" t="s">
        <v>17</v>
      </c>
      <c r="B38" s="246"/>
      <c r="C38" s="247"/>
      <c r="D38" s="247"/>
      <c r="E38" s="246" t="s">
        <v>26</v>
      </c>
      <c r="F38" s="246"/>
      <c r="G38" s="247"/>
      <c r="H38" s="247"/>
      <c r="I38" s="246" t="s">
        <v>27</v>
      </c>
      <c r="J38" s="246"/>
      <c r="K38" s="247"/>
      <c r="L38" s="269"/>
      <c r="M38" s="37"/>
    </row>
    <row r="39" spans="1:13" ht="33.75" customHeight="1" thickBot="1" x14ac:dyDescent="0.3">
      <c r="A39" s="277" t="s">
        <v>19</v>
      </c>
      <c r="B39" s="278"/>
      <c r="C39" s="315" t="str">
        <f>IF(C34="","",LOOKUP(C34,Models,Accuracy))</f>
        <v/>
      </c>
      <c r="D39" s="315"/>
      <c r="E39" s="315"/>
      <c r="F39" s="315"/>
      <c r="G39" s="315"/>
      <c r="H39" s="315"/>
      <c r="I39" s="315"/>
      <c r="J39" s="315"/>
      <c r="K39" s="315"/>
      <c r="L39" s="316"/>
      <c r="M39" s="37"/>
    </row>
    <row r="40" spans="1:13" ht="15.75" customHeight="1" x14ac:dyDescent="0.25">
      <c r="A40" s="67"/>
      <c r="B40" s="67"/>
      <c r="C40" s="146"/>
      <c r="D40" s="146"/>
      <c r="E40" s="146"/>
      <c r="F40" s="146"/>
      <c r="G40" s="146"/>
      <c r="H40" s="146"/>
      <c r="I40" s="146"/>
      <c r="J40" s="146"/>
      <c r="K40" s="146"/>
      <c r="L40" s="146"/>
      <c r="M40" s="37"/>
    </row>
    <row r="41" spans="1:13" ht="16.5" customHeight="1" thickBot="1" x14ac:dyDescent="0.3">
      <c r="A41" s="85"/>
      <c r="B41" s="85"/>
      <c r="C41" s="85"/>
      <c r="D41" s="85"/>
      <c r="E41" s="85"/>
      <c r="F41" s="85"/>
      <c r="G41" s="85"/>
      <c r="H41" s="85"/>
      <c r="I41" s="85"/>
      <c r="J41" s="85"/>
      <c r="K41" s="85"/>
      <c r="L41" s="85"/>
      <c r="M41" s="87"/>
    </row>
    <row r="42" spans="1:13" ht="21" customHeight="1" thickBot="1" x14ac:dyDescent="0.3">
      <c r="A42" s="260" t="s">
        <v>7</v>
      </c>
      <c r="B42" s="261"/>
      <c r="C42" s="261"/>
      <c r="D42" s="261"/>
      <c r="E42" s="261"/>
      <c r="F42" s="261"/>
      <c r="G42" s="261"/>
      <c r="H42" s="261"/>
      <c r="I42" s="261"/>
      <c r="J42" s="261"/>
      <c r="K42" s="261"/>
      <c r="L42" s="262"/>
      <c r="M42" s="37"/>
    </row>
    <row r="43" spans="1:13" ht="21" customHeight="1" thickBot="1" x14ac:dyDescent="0.3">
      <c r="A43" s="263" t="s">
        <v>8</v>
      </c>
      <c r="B43" s="264"/>
      <c r="C43" s="24"/>
      <c r="D43" s="264" t="s">
        <v>9</v>
      </c>
      <c r="E43" s="264"/>
      <c r="F43" s="24"/>
      <c r="G43" s="264" t="s">
        <v>10</v>
      </c>
      <c r="H43" s="264"/>
      <c r="I43" s="24"/>
      <c r="J43" s="264" t="s">
        <v>11</v>
      </c>
      <c r="K43" s="264"/>
      <c r="L43" s="25"/>
      <c r="M43" s="37"/>
    </row>
    <row r="44" spans="1:13" ht="15.75" customHeight="1" x14ac:dyDescent="0.25">
      <c r="A44" s="66"/>
      <c r="B44" s="66"/>
      <c r="C44" s="146"/>
      <c r="D44" s="66"/>
      <c r="E44" s="66"/>
      <c r="F44" s="146"/>
      <c r="G44" s="66"/>
      <c r="H44" s="66"/>
      <c r="I44" s="146"/>
      <c r="J44" s="66"/>
      <c r="K44" s="66"/>
      <c r="L44" s="146"/>
      <c r="M44" s="37"/>
    </row>
    <row r="45" spans="1:13" ht="16.5" customHeight="1" thickBot="1" x14ac:dyDescent="0.3">
      <c r="A45" s="87"/>
      <c r="B45" s="87"/>
      <c r="C45" s="87"/>
      <c r="D45" s="87"/>
      <c r="E45" s="87"/>
      <c r="F45" s="87"/>
      <c r="G45" s="87"/>
      <c r="H45" s="87"/>
      <c r="I45" s="87"/>
      <c r="J45" s="87"/>
      <c r="K45" s="87"/>
      <c r="L45" s="87"/>
      <c r="M45" s="87"/>
    </row>
    <row r="46" spans="1:13" ht="16.5" customHeight="1" thickBot="1" x14ac:dyDescent="0.3">
      <c r="A46" s="260" t="s">
        <v>24</v>
      </c>
      <c r="B46" s="261"/>
      <c r="C46" s="261"/>
      <c r="D46" s="261"/>
      <c r="E46" s="261"/>
      <c r="F46" s="261"/>
      <c r="G46" s="261"/>
      <c r="H46" s="261"/>
      <c r="I46" s="261"/>
      <c r="J46" s="261"/>
      <c r="K46" s="261"/>
      <c r="L46" s="262"/>
      <c r="M46" s="37"/>
    </row>
    <row r="47" spans="1:13" ht="16.5" customHeight="1" x14ac:dyDescent="0.25">
      <c r="A47" s="250"/>
      <c r="B47" s="251"/>
      <c r="C47" s="251"/>
      <c r="D47" s="251"/>
      <c r="E47" s="251"/>
      <c r="F47" s="251"/>
      <c r="G47" s="251"/>
      <c r="H47" s="251"/>
      <c r="I47" s="251"/>
      <c r="J47" s="251"/>
      <c r="K47" s="251"/>
      <c r="L47" s="252"/>
      <c r="M47" s="37"/>
    </row>
    <row r="48" spans="1:13" ht="16.5" customHeight="1" x14ac:dyDescent="0.25">
      <c r="A48" s="253"/>
      <c r="B48" s="254"/>
      <c r="C48" s="254"/>
      <c r="D48" s="254"/>
      <c r="E48" s="254"/>
      <c r="F48" s="254"/>
      <c r="G48" s="254"/>
      <c r="H48" s="254"/>
      <c r="I48" s="254"/>
      <c r="J48" s="254"/>
      <c r="K48" s="254"/>
      <c r="L48" s="255"/>
      <c r="M48" s="37"/>
    </row>
    <row r="49" spans="1:13" ht="16.5" customHeight="1" thickBot="1" x14ac:dyDescent="0.3">
      <c r="A49" s="256"/>
      <c r="B49" s="257"/>
      <c r="C49" s="257"/>
      <c r="D49" s="257"/>
      <c r="E49" s="257"/>
      <c r="F49" s="257"/>
      <c r="G49" s="257"/>
      <c r="H49" s="257"/>
      <c r="I49" s="257"/>
      <c r="J49" s="257"/>
      <c r="K49" s="257"/>
      <c r="L49" s="258"/>
      <c r="M49" s="37"/>
    </row>
    <row r="50" spans="1:13" ht="16.5" customHeight="1" x14ac:dyDescent="0.25">
      <c r="A50" s="146"/>
      <c r="B50" s="146"/>
      <c r="C50" s="146"/>
      <c r="D50" s="146"/>
      <c r="E50" s="146"/>
      <c r="F50" s="146"/>
      <c r="G50" s="146"/>
      <c r="H50" s="146"/>
      <c r="I50" s="146"/>
      <c r="J50" s="146"/>
      <c r="K50" s="146"/>
      <c r="L50" s="146"/>
      <c r="M50" s="37"/>
    </row>
    <row r="51" spans="1:13" ht="16.5" customHeight="1" x14ac:dyDescent="0.25">
      <c r="A51" s="37"/>
      <c r="B51" s="37"/>
      <c r="C51" s="37"/>
      <c r="D51" s="37"/>
      <c r="E51" s="37"/>
      <c r="F51" s="37"/>
      <c r="G51" s="37"/>
      <c r="H51" s="37"/>
      <c r="I51" s="37"/>
      <c r="J51" s="37"/>
      <c r="K51" s="37"/>
      <c r="L51" s="37"/>
      <c r="M51" s="87"/>
    </row>
    <row r="52" spans="1:13" ht="22.5" customHeight="1" x14ac:dyDescent="0.25">
      <c r="A52" s="292" t="s">
        <v>47</v>
      </c>
      <c r="B52" s="293"/>
      <c r="C52" s="293"/>
      <c r="D52" s="293"/>
      <c r="E52" s="293"/>
      <c r="F52" s="293"/>
      <c r="G52" s="293"/>
      <c r="H52" s="293"/>
      <c r="I52" s="293"/>
      <c r="J52" s="293"/>
      <c r="K52" s="293"/>
      <c r="L52" s="293"/>
      <c r="M52" s="87"/>
    </row>
    <row r="53" spans="1:13" ht="22.5" customHeight="1" x14ac:dyDescent="0.25">
      <c r="A53" s="293"/>
      <c r="B53" s="293"/>
      <c r="C53" s="293"/>
      <c r="D53" s="293"/>
      <c r="E53" s="293"/>
      <c r="F53" s="293"/>
      <c r="G53" s="293"/>
      <c r="H53" s="293"/>
      <c r="I53" s="293"/>
      <c r="J53" s="293"/>
      <c r="K53" s="293"/>
      <c r="L53" s="293"/>
      <c r="M53" s="87"/>
    </row>
    <row r="54" spans="1:13" ht="23.25" customHeight="1" x14ac:dyDescent="0.25">
      <c r="A54" s="292" t="s">
        <v>1770</v>
      </c>
      <c r="B54" s="293"/>
      <c r="C54" s="293"/>
      <c r="D54" s="293"/>
      <c r="E54" s="293"/>
      <c r="F54" s="293"/>
      <c r="G54" s="293"/>
      <c r="H54" s="293"/>
      <c r="I54" s="293"/>
      <c r="J54" s="293"/>
      <c r="K54" s="293"/>
      <c r="L54" s="293"/>
      <c r="M54" s="147"/>
    </row>
    <row r="55" spans="1:13" ht="23.25" customHeight="1" x14ac:dyDescent="0.25">
      <c r="A55" s="293"/>
      <c r="B55" s="293"/>
      <c r="C55" s="293"/>
      <c r="D55" s="293"/>
      <c r="E55" s="293"/>
      <c r="F55" s="293"/>
      <c r="G55" s="293"/>
      <c r="H55" s="293"/>
      <c r="I55" s="293"/>
      <c r="J55" s="293"/>
      <c r="K55" s="293"/>
      <c r="L55" s="293"/>
      <c r="M55" s="147"/>
    </row>
    <row r="56" spans="1:13" ht="16.5" customHeight="1" x14ac:dyDescent="0.25">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310"/>
      <c r="J57" s="310"/>
      <c r="K57" s="310"/>
      <c r="L57" s="310"/>
      <c r="M57" s="87"/>
    </row>
    <row r="58" spans="1:13" ht="16.5" customHeight="1" thickBot="1" x14ac:dyDescent="0.3">
      <c r="A58" s="287" t="s">
        <v>12</v>
      </c>
      <c r="B58" s="287"/>
      <c r="C58" s="286"/>
      <c r="D58" s="286"/>
      <c r="E58" s="286"/>
      <c r="F58" s="286"/>
      <c r="G58" s="287" t="s">
        <v>40</v>
      </c>
      <c r="H58" s="287"/>
      <c r="I58" s="311"/>
      <c r="J58" s="311"/>
      <c r="K58" s="311"/>
      <c r="L58" s="311"/>
      <c r="M58" s="87"/>
    </row>
    <row r="59" spans="1:13" ht="16.5" customHeight="1" x14ac:dyDescent="0.25">
      <c r="A59" s="37"/>
      <c r="B59" s="37"/>
      <c r="C59" s="37"/>
      <c r="D59" s="37"/>
      <c r="E59" s="37"/>
      <c r="F59" s="37"/>
      <c r="G59" s="37"/>
      <c r="H59" s="37"/>
      <c r="I59" s="37"/>
      <c r="J59" s="37"/>
      <c r="K59" s="37"/>
      <c r="L59" s="37"/>
      <c r="M59" s="87"/>
    </row>
    <row r="60" spans="1:13" ht="16.5" customHeight="1" thickBot="1" x14ac:dyDescent="0.3">
      <c r="A60" s="287" t="s">
        <v>49</v>
      </c>
      <c r="B60" s="287"/>
      <c r="C60" s="286"/>
      <c r="D60" s="286"/>
      <c r="E60" s="286"/>
      <c r="F60" s="286"/>
      <c r="G60" s="287" t="s">
        <v>41</v>
      </c>
      <c r="H60" s="287"/>
      <c r="I60" s="286"/>
      <c r="J60" s="286"/>
      <c r="K60" s="286"/>
      <c r="L60" s="286"/>
      <c r="M60" s="87"/>
    </row>
    <row r="61" spans="1:13" ht="16.5" customHeight="1" x14ac:dyDescent="0.25">
      <c r="A61" s="41"/>
      <c r="B61" s="41"/>
      <c r="C61" s="41"/>
      <c r="D61" s="41"/>
      <c r="E61" s="41"/>
      <c r="F61" s="41"/>
      <c r="G61" s="41"/>
      <c r="H61" s="41"/>
      <c r="I61" s="41"/>
      <c r="J61" s="41"/>
      <c r="K61" s="41"/>
      <c r="L61" s="41"/>
      <c r="M61" s="37"/>
    </row>
    <row r="62" spans="1:13" ht="16.5" customHeight="1" x14ac:dyDescent="0.25">
      <c r="A62" s="86"/>
      <c r="B62" s="86"/>
      <c r="C62" s="87"/>
      <c r="D62" s="87"/>
      <c r="E62" s="87"/>
      <c r="F62" s="37"/>
      <c r="G62" s="86"/>
      <c r="H62" s="86"/>
      <c r="I62" s="87"/>
      <c r="J62" s="87"/>
      <c r="K62" s="87"/>
      <c r="L62" s="37"/>
      <c r="M62" s="87"/>
    </row>
    <row r="63" spans="1:13" ht="16.5" customHeight="1" x14ac:dyDescent="0.25">
      <c r="A63" s="391"/>
      <c r="B63" s="392"/>
      <c r="C63" s="392"/>
      <c r="D63" s="392"/>
      <c r="E63" s="392"/>
      <c r="F63" s="392"/>
      <c r="G63" s="392"/>
      <c r="H63" s="392"/>
      <c r="I63" s="392"/>
      <c r="J63" s="392"/>
      <c r="K63" s="392"/>
      <c r="L63" s="393"/>
      <c r="M63" s="87"/>
    </row>
    <row r="64" spans="1:13" ht="16.5" customHeight="1" x14ac:dyDescent="0.25">
      <c r="A64" s="394"/>
      <c r="B64" s="395"/>
      <c r="C64" s="395"/>
      <c r="D64" s="395"/>
      <c r="E64" s="395"/>
      <c r="F64" s="395"/>
      <c r="G64" s="395"/>
      <c r="H64" s="395"/>
      <c r="I64" s="395"/>
      <c r="J64" s="395"/>
      <c r="K64" s="395"/>
      <c r="L64" s="396"/>
      <c r="M64" s="37"/>
    </row>
    <row r="65" spans="1:19" ht="16.5" customHeight="1" x14ac:dyDescent="0.25">
      <c r="A65" s="87"/>
      <c r="B65" s="87"/>
      <c r="C65" s="87"/>
      <c r="D65" s="87"/>
      <c r="E65" s="87"/>
      <c r="F65" s="87"/>
      <c r="G65" s="87"/>
      <c r="H65" s="87"/>
      <c r="I65" s="87"/>
      <c r="J65" s="87"/>
      <c r="K65" s="87"/>
      <c r="L65" s="87"/>
      <c r="M65" s="37"/>
    </row>
    <row r="66" spans="1:19" ht="16.5" customHeight="1" x14ac:dyDescent="0.25">
      <c r="A66" s="289"/>
      <c r="B66" s="289"/>
      <c r="C66" s="289"/>
      <c r="D66" s="289"/>
      <c r="E66" s="290" t="s">
        <v>48</v>
      </c>
      <c r="F66" s="290"/>
      <c r="G66" s="290"/>
      <c r="H66" s="290"/>
      <c r="I66" s="290"/>
      <c r="J66" s="290"/>
      <c r="K66" s="290"/>
      <c r="L66" s="290"/>
      <c r="M66" s="37"/>
    </row>
    <row r="67" spans="1:19" ht="16.5" customHeight="1" x14ac:dyDescent="0.25">
      <c r="A67" s="289"/>
      <c r="B67" s="289"/>
      <c r="C67" s="289"/>
      <c r="D67" s="289"/>
      <c r="E67" s="290"/>
      <c r="F67" s="290"/>
      <c r="G67" s="290"/>
      <c r="H67" s="290"/>
      <c r="I67" s="290"/>
      <c r="J67" s="290"/>
      <c r="K67" s="290"/>
      <c r="L67" s="290"/>
      <c r="M67" s="37"/>
    </row>
    <row r="68" spans="1:19" ht="16.5" customHeight="1" x14ac:dyDescent="0.25">
      <c r="A68" s="289"/>
      <c r="B68" s="289"/>
      <c r="C68" s="289"/>
      <c r="D68" s="289"/>
      <c r="E68" s="290"/>
      <c r="F68" s="290"/>
      <c r="G68" s="290"/>
      <c r="H68" s="290"/>
      <c r="I68" s="290"/>
      <c r="J68" s="290"/>
      <c r="K68" s="290"/>
      <c r="L68" s="290"/>
      <c r="M68" s="37"/>
    </row>
    <row r="69" spans="1:19" ht="16.5" customHeight="1" x14ac:dyDescent="0.25">
      <c r="A69" s="289"/>
      <c r="B69" s="289"/>
      <c r="C69" s="289"/>
      <c r="D69" s="289"/>
      <c r="E69" s="299" t="s">
        <v>51</v>
      </c>
      <c r="F69" s="299"/>
      <c r="G69" s="299"/>
      <c r="H69" s="299"/>
      <c r="I69" s="299"/>
      <c r="J69" s="299"/>
      <c r="K69" s="299"/>
      <c r="L69" s="299"/>
      <c r="M69" s="37"/>
    </row>
    <row r="70" spans="1:19" ht="16.5" customHeight="1" x14ac:dyDescent="0.25">
      <c r="A70" s="289"/>
      <c r="B70" s="289"/>
      <c r="C70" s="289"/>
      <c r="D70" s="289"/>
      <c r="E70" s="299"/>
      <c r="F70" s="299"/>
      <c r="G70" s="299"/>
      <c r="H70" s="299"/>
      <c r="I70" s="299"/>
      <c r="J70" s="299"/>
      <c r="K70" s="299"/>
      <c r="L70" s="299"/>
      <c r="M70" s="37"/>
    </row>
    <row r="71" spans="1:19" ht="16.5" customHeight="1" x14ac:dyDescent="0.25">
      <c r="A71" s="289"/>
      <c r="B71" s="289"/>
      <c r="C71" s="289"/>
      <c r="D71" s="289"/>
      <c r="E71" s="299"/>
      <c r="F71" s="299"/>
      <c r="G71" s="299"/>
      <c r="H71" s="299"/>
      <c r="I71" s="299"/>
      <c r="J71" s="299"/>
      <c r="K71" s="299"/>
      <c r="L71" s="299"/>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260" t="str">
        <f>IF(K32="","",IF(K32="New","Calibration Data: As Found/As Left",IF(K32="Used","Calibration Data: As Found/As Left",IF(K32="Repaired","Calibration Data: As Found",))))</f>
        <v>Calibration Data: As Found/As Left</v>
      </c>
      <c r="B74" s="261"/>
      <c r="C74" s="261"/>
      <c r="D74" s="261"/>
      <c r="E74" s="261"/>
      <c r="F74" s="261"/>
      <c r="G74" s="261"/>
      <c r="H74" s="261"/>
      <c r="I74" s="261"/>
      <c r="J74" s="261"/>
      <c r="K74" s="261"/>
      <c r="L74" s="262"/>
    </row>
    <row r="75" spans="1:19" ht="32.25" customHeight="1" x14ac:dyDescent="0.25">
      <c r="A75" s="273" t="s">
        <v>61</v>
      </c>
      <c r="B75" s="274"/>
      <c r="C75" s="274" t="s">
        <v>2</v>
      </c>
      <c r="D75" s="274"/>
      <c r="E75" s="96" t="s">
        <v>1</v>
      </c>
      <c r="F75" s="274" t="s">
        <v>45</v>
      </c>
      <c r="G75" s="274"/>
      <c r="H75" s="274" t="s">
        <v>3</v>
      </c>
      <c r="I75" s="274"/>
      <c r="J75" s="274" t="s">
        <v>5</v>
      </c>
      <c r="K75" s="274"/>
      <c r="L75" s="27" t="s">
        <v>4</v>
      </c>
      <c r="O75" s="10" t="s">
        <v>56</v>
      </c>
      <c r="P75" s="10" t="s">
        <v>57</v>
      </c>
      <c r="Q75" s="99" t="s">
        <v>58</v>
      </c>
      <c r="R75" s="99" t="s">
        <v>59</v>
      </c>
      <c r="S75" s="10" t="s">
        <v>60</v>
      </c>
    </row>
    <row r="76" spans="1:19" ht="16.5" customHeight="1" x14ac:dyDescent="0.25">
      <c r="A76" s="403"/>
      <c r="B76" s="404"/>
      <c r="C76" s="247"/>
      <c r="D76" s="247"/>
      <c r="E76" s="94"/>
      <c r="F76" s="405"/>
      <c r="G76" s="405"/>
      <c r="H76" s="400" t="str">
        <f>IF(F76="","",F76-P76)</f>
        <v/>
      </c>
      <c r="I76" s="400"/>
      <c r="J76" s="247"/>
      <c r="K76" s="247"/>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401"/>
      <c r="B77" s="402"/>
      <c r="C77" s="297"/>
      <c r="D77" s="298"/>
      <c r="E77" s="150"/>
      <c r="F77" s="408"/>
      <c r="G77" s="409"/>
      <c r="H77" s="400" t="str">
        <f t="shared" ref="H77:H95" si="0">IF(F77="","",F77-P77)</f>
        <v/>
      </c>
      <c r="I77" s="400"/>
      <c r="J77" s="297"/>
      <c r="K77" s="298"/>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401"/>
      <c r="B78" s="402"/>
      <c r="C78" s="297"/>
      <c r="D78" s="298"/>
      <c r="E78" s="150"/>
      <c r="F78" s="408"/>
      <c r="G78" s="409"/>
      <c r="H78" s="400" t="str">
        <f t="shared" si="0"/>
        <v/>
      </c>
      <c r="I78" s="400"/>
      <c r="J78" s="297"/>
      <c r="K78" s="298"/>
      <c r="L78" s="155" t="str">
        <f t="shared" si="1"/>
        <v/>
      </c>
      <c r="P78" s="100" t="str">
        <f t="shared" si="2"/>
        <v/>
      </c>
      <c r="Q78" s="10" t="str">
        <f t="shared" si="3"/>
        <v/>
      </c>
      <c r="R78" s="10" t="str">
        <f t="shared" si="4"/>
        <v/>
      </c>
      <c r="S78" s="10" t="str">
        <f t="shared" si="5"/>
        <v/>
      </c>
    </row>
    <row r="79" spans="1:19" ht="16.5" customHeight="1" x14ac:dyDescent="0.25">
      <c r="A79" s="401"/>
      <c r="B79" s="402"/>
      <c r="C79" s="297"/>
      <c r="D79" s="298"/>
      <c r="E79" s="150"/>
      <c r="F79" s="408"/>
      <c r="G79" s="409"/>
      <c r="H79" s="400" t="str">
        <f t="shared" si="0"/>
        <v/>
      </c>
      <c r="I79" s="400"/>
      <c r="J79" s="297"/>
      <c r="K79" s="298"/>
      <c r="L79" s="155" t="str">
        <f t="shared" si="1"/>
        <v/>
      </c>
      <c r="P79" s="100" t="str">
        <f t="shared" si="2"/>
        <v/>
      </c>
      <c r="Q79" s="10" t="str">
        <f t="shared" si="3"/>
        <v/>
      </c>
      <c r="R79" s="10" t="str">
        <f t="shared" si="4"/>
        <v/>
      </c>
      <c r="S79" s="10" t="str">
        <f t="shared" si="5"/>
        <v/>
      </c>
    </row>
    <row r="80" spans="1:19" ht="16.5" customHeight="1" x14ac:dyDescent="0.25">
      <c r="A80" s="401"/>
      <c r="B80" s="402"/>
      <c r="C80" s="297"/>
      <c r="D80" s="298"/>
      <c r="E80" s="153"/>
      <c r="F80" s="408"/>
      <c r="G80" s="409"/>
      <c r="H80" s="400" t="str">
        <f t="shared" si="0"/>
        <v/>
      </c>
      <c r="I80" s="400"/>
      <c r="J80" s="297"/>
      <c r="K80" s="298"/>
      <c r="L80" s="155" t="str">
        <f t="shared" si="1"/>
        <v/>
      </c>
      <c r="P80" s="100" t="str">
        <f t="shared" si="2"/>
        <v/>
      </c>
      <c r="Q80" s="10" t="str">
        <f t="shared" si="3"/>
        <v/>
      </c>
      <c r="R80" s="10" t="str">
        <f t="shared" si="4"/>
        <v/>
      </c>
      <c r="S80" s="10" t="str">
        <f t="shared" si="5"/>
        <v/>
      </c>
    </row>
    <row r="81" spans="1:19" ht="16.5" customHeight="1" x14ac:dyDescent="0.25">
      <c r="A81" s="401"/>
      <c r="B81" s="402"/>
      <c r="C81" s="297"/>
      <c r="D81" s="298"/>
      <c r="E81" s="153"/>
      <c r="F81" s="408"/>
      <c r="G81" s="409"/>
      <c r="H81" s="400" t="str">
        <f t="shared" si="0"/>
        <v/>
      </c>
      <c r="I81" s="400"/>
      <c r="J81" s="297"/>
      <c r="K81" s="298"/>
      <c r="L81" s="155" t="str">
        <f t="shared" si="1"/>
        <v/>
      </c>
      <c r="P81" s="100" t="str">
        <f t="shared" si="2"/>
        <v/>
      </c>
      <c r="Q81" s="10" t="str">
        <f t="shared" si="3"/>
        <v/>
      </c>
      <c r="R81" s="10" t="str">
        <f t="shared" si="4"/>
        <v/>
      </c>
      <c r="S81" s="10" t="str">
        <f t="shared" si="5"/>
        <v/>
      </c>
    </row>
    <row r="82" spans="1:19" ht="16.5" customHeight="1" x14ac:dyDescent="0.25">
      <c r="A82" s="300"/>
      <c r="B82" s="298"/>
      <c r="C82" s="297"/>
      <c r="D82" s="298"/>
      <c r="E82" s="153"/>
      <c r="F82" s="297"/>
      <c r="G82" s="298"/>
      <c r="H82" s="400" t="str">
        <f t="shared" si="0"/>
        <v/>
      </c>
      <c r="I82" s="400"/>
      <c r="J82" s="297"/>
      <c r="K82" s="298"/>
      <c r="L82" s="155" t="str">
        <f t="shared" si="1"/>
        <v/>
      </c>
      <c r="P82" s="100" t="str">
        <f t="shared" si="2"/>
        <v/>
      </c>
      <c r="Q82" s="10" t="str">
        <f t="shared" si="3"/>
        <v/>
      </c>
      <c r="R82" s="10" t="str">
        <f t="shared" si="4"/>
        <v/>
      </c>
      <c r="S82" s="10" t="str">
        <f t="shared" si="5"/>
        <v/>
      </c>
    </row>
    <row r="83" spans="1:19" ht="16.5" customHeight="1" x14ac:dyDescent="0.25">
      <c r="A83" s="300"/>
      <c r="B83" s="298"/>
      <c r="C83" s="297"/>
      <c r="D83" s="298"/>
      <c r="E83" s="153"/>
      <c r="F83" s="297"/>
      <c r="G83" s="298"/>
      <c r="H83" s="400" t="str">
        <f t="shared" si="0"/>
        <v/>
      </c>
      <c r="I83" s="400"/>
      <c r="J83" s="297"/>
      <c r="K83" s="298"/>
      <c r="L83" s="155" t="str">
        <f t="shared" si="1"/>
        <v/>
      </c>
      <c r="P83" s="100" t="str">
        <f t="shared" si="2"/>
        <v/>
      </c>
      <c r="Q83" s="10" t="str">
        <f t="shared" si="3"/>
        <v/>
      </c>
      <c r="R83" s="10" t="str">
        <f t="shared" si="4"/>
        <v/>
      </c>
      <c r="S83" s="10" t="str">
        <f t="shared" si="5"/>
        <v/>
      </c>
    </row>
    <row r="84" spans="1:19" ht="16.5" customHeight="1" x14ac:dyDescent="0.25">
      <c r="A84" s="300"/>
      <c r="B84" s="298"/>
      <c r="C84" s="297"/>
      <c r="D84" s="298"/>
      <c r="E84" s="153"/>
      <c r="F84" s="297"/>
      <c r="G84" s="298"/>
      <c r="H84" s="400" t="str">
        <f t="shared" si="0"/>
        <v/>
      </c>
      <c r="I84" s="400"/>
      <c r="J84" s="297"/>
      <c r="K84" s="298"/>
      <c r="L84" s="155" t="str">
        <f t="shared" si="1"/>
        <v/>
      </c>
      <c r="P84" s="100" t="str">
        <f t="shared" si="2"/>
        <v/>
      </c>
      <c r="Q84" s="10" t="str">
        <f t="shared" si="3"/>
        <v/>
      </c>
      <c r="R84" s="10" t="str">
        <f t="shared" si="4"/>
        <v/>
      </c>
      <c r="S84" s="10" t="str">
        <f t="shared" si="5"/>
        <v/>
      </c>
    </row>
    <row r="85" spans="1:19" ht="16.5" customHeight="1" x14ac:dyDescent="0.25">
      <c r="A85" s="300"/>
      <c r="B85" s="298"/>
      <c r="C85" s="297"/>
      <c r="D85" s="298"/>
      <c r="E85" s="150"/>
      <c r="F85" s="297"/>
      <c r="G85" s="298"/>
      <c r="H85" s="400" t="str">
        <f t="shared" si="0"/>
        <v/>
      </c>
      <c r="I85" s="400"/>
      <c r="J85" s="297"/>
      <c r="K85" s="298"/>
      <c r="L85" s="155" t="str">
        <f t="shared" si="1"/>
        <v/>
      </c>
      <c r="P85" s="100" t="str">
        <f t="shared" si="2"/>
        <v/>
      </c>
      <c r="Q85" s="10" t="str">
        <f t="shared" si="3"/>
        <v/>
      </c>
      <c r="R85" s="10" t="str">
        <f t="shared" si="4"/>
        <v/>
      </c>
      <c r="S85" s="10" t="str">
        <f t="shared" si="5"/>
        <v/>
      </c>
    </row>
    <row r="86" spans="1:19" ht="16.5" customHeight="1" x14ac:dyDescent="0.25">
      <c r="A86" s="300"/>
      <c r="B86" s="298"/>
      <c r="C86" s="297"/>
      <c r="D86" s="298"/>
      <c r="E86" s="150"/>
      <c r="F86" s="297"/>
      <c r="G86" s="298"/>
      <c r="H86" s="400" t="str">
        <f t="shared" si="0"/>
        <v/>
      </c>
      <c r="I86" s="400"/>
      <c r="J86" s="297"/>
      <c r="K86" s="298"/>
      <c r="L86" s="155" t="str">
        <f t="shared" si="1"/>
        <v/>
      </c>
      <c r="P86" s="100" t="str">
        <f t="shared" si="2"/>
        <v/>
      </c>
      <c r="Q86" s="10" t="str">
        <f t="shared" si="3"/>
        <v/>
      </c>
      <c r="R86" s="10" t="str">
        <f t="shared" si="4"/>
        <v/>
      </c>
      <c r="S86" s="10" t="str">
        <f t="shared" si="5"/>
        <v/>
      </c>
    </row>
    <row r="87" spans="1:19" ht="16.5" customHeight="1" x14ac:dyDescent="0.25">
      <c r="A87" s="300"/>
      <c r="B87" s="298"/>
      <c r="C87" s="297"/>
      <c r="D87" s="298"/>
      <c r="E87" s="150"/>
      <c r="F87" s="297"/>
      <c r="G87" s="298"/>
      <c r="H87" s="400" t="str">
        <f t="shared" si="0"/>
        <v/>
      </c>
      <c r="I87" s="400"/>
      <c r="J87" s="297"/>
      <c r="K87" s="298"/>
      <c r="L87" s="155" t="str">
        <f t="shared" si="1"/>
        <v/>
      </c>
      <c r="P87" s="100" t="str">
        <f t="shared" si="2"/>
        <v/>
      </c>
      <c r="Q87" s="10" t="str">
        <f t="shared" si="3"/>
        <v/>
      </c>
      <c r="R87" s="10" t="str">
        <f t="shared" si="4"/>
        <v/>
      </c>
      <c r="S87" s="10" t="str">
        <f t="shared" si="5"/>
        <v/>
      </c>
    </row>
    <row r="88" spans="1:19" ht="16.5" customHeight="1" x14ac:dyDescent="0.25">
      <c r="A88" s="300"/>
      <c r="B88" s="298"/>
      <c r="C88" s="297"/>
      <c r="D88" s="298"/>
      <c r="E88" s="150"/>
      <c r="F88" s="297"/>
      <c r="G88" s="298"/>
      <c r="H88" s="400" t="str">
        <f t="shared" si="0"/>
        <v/>
      </c>
      <c r="I88" s="400"/>
      <c r="J88" s="297"/>
      <c r="K88" s="298"/>
      <c r="L88" s="155" t="str">
        <f t="shared" si="1"/>
        <v/>
      </c>
      <c r="P88" s="100" t="str">
        <f t="shared" si="2"/>
        <v/>
      </c>
      <c r="Q88" s="10" t="str">
        <f t="shared" si="3"/>
        <v/>
      </c>
      <c r="R88" s="10" t="str">
        <f t="shared" si="4"/>
        <v/>
      </c>
      <c r="S88" s="10" t="str">
        <f t="shared" si="5"/>
        <v/>
      </c>
    </row>
    <row r="89" spans="1:19" ht="16.5" customHeight="1" x14ac:dyDescent="0.25">
      <c r="A89" s="259"/>
      <c r="B89" s="247"/>
      <c r="C89" s="247"/>
      <c r="D89" s="247"/>
      <c r="E89" s="94"/>
      <c r="F89" s="247"/>
      <c r="G89" s="247"/>
      <c r="H89" s="400" t="str">
        <f t="shared" si="0"/>
        <v/>
      </c>
      <c r="I89" s="400"/>
      <c r="J89" s="247"/>
      <c r="K89" s="247"/>
      <c r="L89" s="155" t="str">
        <f t="shared" si="1"/>
        <v/>
      </c>
      <c r="P89" s="100" t="str">
        <f t="shared" si="2"/>
        <v/>
      </c>
      <c r="Q89" s="10" t="str">
        <f t="shared" si="3"/>
        <v/>
      </c>
      <c r="R89" s="10" t="str">
        <f t="shared" si="4"/>
        <v/>
      </c>
      <c r="S89" s="10" t="str">
        <f t="shared" si="5"/>
        <v/>
      </c>
    </row>
    <row r="90" spans="1:19" ht="16.5" customHeight="1" x14ac:dyDescent="0.25">
      <c r="A90" s="259"/>
      <c r="B90" s="247"/>
      <c r="C90" s="247"/>
      <c r="D90" s="247"/>
      <c r="E90" s="94"/>
      <c r="F90" s="247"/>
      <c r="G90" s="247"/>
      <c r="H90" s="400" t="str">
        <f t="shared" si="0"/>
        <v/>
      </c>
      <c r="I90" s="400"/>
      <c r="J90" s="247"/>
      <c r="K90" s="247"/>
      <c r="L90" s="155" t="str">
        <f t="shared" si="1"/>
        <v/>
      </c>
      <c r="P90" s="100" t="str">
        <f t="shared" si="2"/>
        <v/>
      </c>
      <c r="Q90" s="10" t="str">
        <f t="shared" si="3"/>
        <v/>
      </c>
      <c r="R90" s="10" t="str">
        <f t="shared" si="4"/>
        <v/>
      </c>
      <c r="S90" s="10" t="str">
        <f t="shared" si="5"/>
        <v/>
      </c>
    </row>
    <row r="91" spans="1:19" ht="16.5" customHeight="1" x14ac:dyDescent="0.25">
      <c r="A91" s="259"/>
      <c r="B91" s="247"/>
      <c r="C91" s="247"/>
      <c r="D91" s="247"/>
      <c r="E91" s="94"/>
      <c r="F91" s="247"/>
      <c r="G91" s="247"/>
      <c r="H91" s="400" t="str">
        <f t="shared" si="0"/>
        <v/>
      </c>
      <c r="I91" s="400"/>
      <c r="J91" s="247"/>
      <c r="K91" s="247"/>
      <c r="L91" s="155" t="str">
        <f t="shared" si="1"/>
        <v/>
      </c>
      <c r="P91" s="100" t="str">
        <f t="shared" si="2"/>
        <v/>
      </c>
      <c r="Q91" s="10" t="str">
        <f t="shared" si="3"/>
        <v/>
      </c>
      <c r="R91" s="10" t="str">
        <f t="shared" si="4"/>
        <v/>
      </c>
      <c r="S91" s="10" t="str">
        <f t="shared" si="5"/>
        <v/>
      </c>
    </row>
    <row r="92" spans="1:19" ht="16.5" customHeight="1" x14ac:dyDescent="0.25">
      <c r="A92" s="259"/>
      <c r="B92" s="247"/>
      <c r="C92" s="247"/>
      <c r="D92" s="247"/>
      <c r="E92" s="94"/>
      <c r="F92" s="247"/>
      <c r="G92" s="247"/>
      <c r="H92" s="400" t="str">
        <f t="shared" si="0"/>
        <v/>
      </c>
      <c r="I92" s="400"/>
      <c r="J92" s="247"/>
      <c r="K92" s="247"/>
      <c r="L92" s="155" t="str">
        <f t="shared" si="1"/>
        <v/>
      </c>
      <c r="P92" s="100" t="str">
        <f t="shared" si="2"/>
        <v/>
      </c>
      <c r="Q92" s="10" t="str">
        <f t="shared" si="3"/>
        <v/>
      </c>
      <c r="R92" s="10" t="str">
        <f t="shared" si="4"/>
        <v/>
      </c>
      <c r="S92" s="10" t="str">
        <f t="shared" si="5"/>
        <v/>
      </c>
    </row>
    <row r="93" spans="1:19" ht="16.5" customHeight="1" x14ac:dyDescent="0.25">
      <c r="A93" s="259"/>
      <c r="B93" s="247"/>
      <c r="C93" s="247"/>
      <c r="D93" s="247"/>
      <c r="E93" s="94"/>
      <c r="F93" s="247"/>
      <c r="G93" s="247"/>
      <c r="H93" s="400" t="str">
        <f t="shared" si="0"/>
        <v/>
      </c>
      <c r="I93" s="400"/>
      <c r="J93" s="247"/>
      <c r="K93" s="247"/>
      <c r="L93" s="155" t="str">
        <f t="shared" si="1"/>
        <v/>
      </c>
      <c r="P93" s="100" t="str">
        <f t="shared" si="2"/>
        <v/>
      </c>
      <c r="Q93" s="10" t="str">
        <f t="shared" si="3"/>
        <v/>
      </c>
      <c r="R93" s="10" t="str">
        <f t="shared" si="4"/>
        <v/>
      </c>
      <c r="S93" s="10" t="str">
        <f t="shared" si="5"/>
        <v/>
      </c>
    </row>
    <row r="94" spans="1:19" ht="16.5" customHeight="1" x14ac:dyDescent="0.25">
      <c r="A94" s="259"/>
      <c r="B94" s="247"/>
      <c r="C94" s="247"/>
      <c r="D94" s="247"/>
      <c r="E94" s="94"/>
      <c r="F94" s="247"/>
      <c r="G94" s="247"/>
      <c r="H94" s="400" t="str">
        <f t="shared" si="0"/>
        <v/>
      </c>
      <c r="I94" s="400"/>
      <c r="J94" s="247"/>
      <c r="K94" s="247"/>
      <c r="L94" s="155" t="str">
        <f t="shared" si="1"/>
        <v/>
      </c>
      <c r="P94" s="100" t="str">
        <f t="shared" si="2"/>
        <v/>
      </c>
      <c r="Q94" s="10" t="str">
        <f t="shared" si="3"/>
        <v/>
      </c>
      <c r="R94" s="10" t="str">
        <f t="shared" si="4"/>
        <v/>
      </c>
      <c r="S94" s="10" t="str">
        <f t="shared" si="5"/>
        <v/>
      </c>
    </row>
    <row r="95" spans="1:19" ht="16.5" customHeight="1" x14ac:dyDescent="0.25">
      <c r="A95" s="259"/>
      <c r="B95" s="247"/>
      <c r="C95" s="247"/>
      <c r="D95" s="247"/>
      <c r="E95" s="94"/>
      <c r="F95" s="247"/>
      <c r="G95" s="247"/>
      <c r="H95" s="400" t="str">
        <f t="shared" si="0"/>
        <v/>
      </c>
      <c r="I95" s="400"/>
      <c r="J95" s="247"/>
      <c r="K95" s="247"/>
      <c r="L95" s="155" t="str">
        <f t="shared" si="1"/>
        <v/>
      </c>
      <c r="P95" s="100" t="str">
        <f t="shared" si="2"/>
        <v/>
      </c>
      <c r="Q95" s="10" t="str">
        <f t="shared" si="3"/>
        <v/>
      </c>
      <c r="R95" s="10" t="str">
        <f t="shared" si="4"/>
        <v/>
      </c>
      <c r="S95" s="10" t="str">
        <f t="shared" si="5"/>
        <v/>
      </c>
    </row>
    <row r="96" spans="1:19" ht="16.5" customHeight="1" thickBot="1" x14ac:dyDescent="0.3">
      <c r="A96" s="267"/>
      <c r="B96" s="266"/>
      <c r="C96" s="266"/>
      <c r="D96" s="266"/>
      <c r="E96" s="95"/>
      <c r="F96" s="266"/>
      <c r="G96" s="266"/>
      <c r="H96" s="266" t="str">
        <f t="shared" ref="H96" si="6">IF(F96="","",F96-P96)</f>
        <v/>
      </c>
      <c r="I96" s="266"/>
      <c r="J96" s="266"/>
      <c r="K96" s="266"/>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391"/>
      <c r="B120" s="392"/>
      <c r="C120" s="392"/>
      <c r="D120" s="392"/>
      <c r="E120" s="392"/>
      <c r="F120" s="392"/>
      <c r="G120" s="392"/>
      <c r="H120" s="392"/>
      <c r="I120" s="392"/>
      <c r="J120" s="392"/>
      <c r="K120" s="392"/>
      <c r="L120" s="393"/>
    </row>
    <row r="121" spans="1:12" ht="16.5" customHeight="1" x14ac:dyDescent="0.25">
      <c r="A121" s="394"/>
      <c r="B121" s="395"/>
      <c r="C121" s="395"/>
      <c r="D121" s="395"/>
      <c r="E121" s="395"/>
      <c r="F121" s="395"/>
      <c r="G121" s="395"/>
      <c r="H121" s="395"/>
      <c r="I121" s="395"/>
      <c r="J121" s="395"/>
      <c r="K121" s="395"/>
      <c r="L121" s="396"/>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289"/>
      <c r="B123" s="289"/>
      <c r="C123" s="289"/>
      <c r="D123" s="289"/>
      <c r="E123" s="290" t="s">
        <v>48</v>
      </c>
      <c r="F123" s="290"/>
      <c r="G123" s="290"/>
      <c r="H123" s="290"/>
      <c r="I123" s="290"/>
      <c r="J123" s="290"/>
      <c r="K123" s="290"/>
      <c r="L123" s="290"/>
    </row>
    <row r="124" spans="1:12" ht="16.5" customHeight="1" x14ac:dyDescent="0.25">
      <c r="A124" s="289"/>
      <c r="B124" s="289"/>
      <c r="C124" s="289"/>
      <c r="D124" s="289"/>
      <c r="E124" s="290"/>
      <c r="F124" s="290"/>
      <c r="G124" s="290"/>
      <c r="H124" s="290"/>
      <c r="I124" s="290"/>
      <c r="J124" s="290"/>
      <c r="K124" s="290"/>
      <c r="L124" s="290"/>
    </row>
    <row r="125" spans="1:12" ht="16.5" customHeight="1" x14ac:dyDescent="0.25">
      <c r="A125" s="289"/>
      <c r="B125" s="289"/>
      <c r="C125" s="289"/>
      <c r="D125" s="289"/>
      <c r="E125" s="290"/>
      <c r="F125" s="290"/>
      <c r="G125" s="290"/>
      <c r="H125" s="290"/>
      <c r="I125" s="290"/>
      <c r="J125" s="290"/>
      <c r="K125" s="290"/>
      <c r="L125" s="290"/>
    </row>
    <row r="126" spans="1:12" ht="16.5" customHeight="1" x14ac:dyDescent="0.25">
      <c r="A126" s="289"/>
      <c r="B126" s="289"/>
      <c r="C126" s="289"/>
      <c r="D126" s="289"/>
      <c r="E126" s="299" t="s">
        <v>51</v>
      </c>
      <c r="F126" s="299"/>
      <c r="G126" s="299"/>
      <c r="H126" s="299"/>
      <c r="I126" s="299"/>
      <c r="J126" s="299"/>
      <c r="K126" s="299"/>
      <c r="L126" s="299"/>
    </row>
    <row r="127" spans="1:12" ht="16.5" customHeight="1" x14ac:dyDescent="0.25">
      <c r="A127" s="289"/>
      <c r="B127" s="289"/>
      <c r="C127" s="289"/>
      <c r="D127" s="289"/>
      <c r="E127" s="299"/>
      <c r="F127" s="299"/>
      <c r="G127" s="299"/>
      <c r="H127" s="299"/>
      <c r="I127" s="299"/>
      <c r="J127" s="299"/>
      <c r="K127" s="299"/>
      <c r="L127" s="299"/>
    </row>
    <row r="128" spans="1:12" ht="16.5" customHeight="1" x14ac:dyDescent="0.25">
      <c r="A128" s="289"/>
      <c r="B128" s="289"/>
      <c r="C128" s="289"/>
      <c r="D128" s="289"/>
      <c r="E128" s="299"/>
      <c r="F128" s="299"/>
      <c r="G128" s="299"/>
      <c r="H128" s="299"/>
      <c r="I128" s="299"/>
      <c r="J128" s="299"/>
      <c r="K128" s="299"/>
      <c r="L128" s="299"/>
    </row>
    <row r="130" spans="1:19" ht="16.5" customHeight="1" thickBot="1" x14ac:dyDescent="0.3"/>
    <row r="131" spans="1:19" ht="16.5" customHeight="1" thickBot="1" x14ac:dyDescent="0.3">
      <c r="A131" s="260" t="str">
        <f>IF(K32="","",IF(K32="Repaired","Calibration Data: As Left",""))</f>
        <v/>
      </c>
      <c r="B131" s="261"/>
      <c r="C131" s="261"/>
      <c r="D131" s="261"/>
      <c r="E131" s="261"/>
      <c r="F131" s="261"/>
      <c r="G131" s="261"/>
      <c r="H131" s="261"/>
      <c r="I131" s="261"/>
      <c r="J131" s="261"/>
      <c r="K131" s="261"/>
      <c r="L131" s="262"/>
    </row>
    <row r="132" spans="1:19" ht="33.75" customHeight="1" x14ac:dyDescent="0.25">
      <c r="A132" s="273" t="s">
        <v>0</v>
      </c>
      <c r="B132" s="274"/>
      <c r="C132" s="274" t="s">
        <v>2</v>
      </c>
      <c r="D132" s="274"/>
      <c r="E132" s="84" t="s">
        <v>1</v>
      </c>
      <c r="F132" s="274" t="s">
        <v>45</v>
      </c>
      <c r="G132" s="274"/>
      <c r="H132" s="274" t="s">
        <v>3</v>
      </c>
      <c r="I132" s="274"/>
      <c r="J132" s="274" t="s">
        <v>5</v>
      </c>
      <c r="K132" s="274"/>
      <c r="L132" s="27" t="s">
        <v>4</v>
      </c>
      <c r="O132" s="10" t="s">
        <v>56</v>
      </c>
      <c r="P132" s="10" t="s">
        <v>57</v>
      </c>
      <c r="Q132" s="99" t="s">
        <v>58</v>
      </c>
      <c r="R132" s="99" t="s">
        <v>59</v>
      </c>
      <c r="S132" s="10" t="s">
        <v>60</v>
      </c>
    </row>
    <row r="133" spans="1:19" ht="16.5" customHeight="1" x14ac:dyDescent="0.25">
      <c r="A133" s="259"/>
      <c r="B133" s="247"/>
      <c r="C133" s="247"/>
      <c r="D133" s="247"/>
      <c r="E133" s="81"/>
      <c r="F133" s="247"/>
      <c r="G133" s="247"/>
      <c r="H133" s="247" t="str">
        <f>IF(F133="","",F133-P133)</f>
        <v/>
      </c>
      <c r="I133" s="247"/>
      <c r="J133" s="247"/>
      <c r="K133" s="247"/>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259"/>
      <c r="B134" s="247"/>
      <c r="C134" s="247"/>
      <c r="D134" s="247"/>
      <c r="E134" s="153"/>
      <c r="F134" s="247"/>
      <c r="G134" s="247"/>
      <c r="H134" s="247" t="str">
        <f>IF(F134="","",F134-P134)</f>
        <v/>
      </c>
      <c r="I134" s="247"/>
      <c r="J134" s="247"/>
      <c r="K134" s="247"/>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259"/>
      <c r="B135" s="247"/>
      <c r="C135" s="247"/>
      <c r="D135" s="247"/>
      <c r="E135" s="153"/>
      <c r="F135" s="247"/>
      <c r="G135" s="247"/>
      <c r="H135" s="247" t="str">
        <f t="shared" ref="H135:H145" si="12">IF(F135="","",F135-P135)</f>
        <v/>
      </c>
      <c r="I135" s="247"/>
      <c r="J135" s="247"/>
      <c r="K135" s="247"/>
      <c r="L135" s="155"/>
      <c r="P135" s="100" t="str">
        <f t="shared" si="8"/>
        <v/>
      </c>
      <c r="Q135" s="10" t="str">
        <f t="shared" si="9"/>
        <v/>
      </c>
      <c r="R135" s="10" t="str">
        <f t="shared" si="10"/>
        <v/>
      </c>
      <c r="S135" s="10" t="str">
        <f t="shared" si="11"/>
        <v/>
      </c>
    </row>
    <row r="136" spans="1:19" ht="16.5" customHeight="1" x14ac:dyDescent="0.25">
      <c r="A136" s="259"/>
      <c r="B136" s="247"/>
      <c r="C136" s="247"/>
      <c r="D136" s="247"/>
      <c r="E136" s="153"/>
      <c r="F136" s="247"/>
      <c r="G136" s="247"/>
      <c r="H136" s="247" t="str">
        <f t="shared" si="12"/>
        <v/>
      </c>
      <c r="I136" s="247"/>
      <c r="J136" s="247"/>
      <c r="K136" s="247"/>
      <c r="L136" s="155"/>
      <c r="P136" s="100" t="str">
        <f t="shared" si="8"/>
        <v/>
      </c>
      <c r="Q136" s="10" t="str">
        <f t="shared" si="9"/>
        <v/>
      </c>
      <c r="R136" s="10" t="str">
        <f t="shared" si="10"/>
        <v/>
      </c>
      <c r="S136" s="10" t="str">
        <f t="shared" si="11"/>
        <v/>
      </c>
    </row>
    <row r="137" spans="1:19" ht="16.5" customHeight="1" x14ac:dyDescent="0.25">
      <c r="A137" s="259"/>
      <c r="B137" s="247"/>
      <c r="C137" s="247"/>
      <c r="D137" s="247"/>
      <c r="E137" s="153"/>
      <c r="F137" s="247"/>
      <c r="G137" s="247"/>
      <c r="H137" s="247" t="str">
        <f t="shared" si="12"/>
        <v/>
      </c>
      <c r="I137" s="247"/>
      <c r="J137" s="247"/>
      <c r="K137" s="247"/>
      <c r="L137" s="155"/>
      <c r="P137" s="100" t="str">
        <f t="shared" si="8"/>
        <v/>
      </c>
      <c r="Q137" s="10" t="str">
        <f t="shared" si="9"/>
        <v/>
      </c>
      <c r="R137" s="10" t="str">
        <f t="shared" si="10"/>
        <v/>
      </c>
      <c r="S137" s="10" t="str">
        <f t="shared" si="11"/>
        <v/>
      </c>
    </row>
    <row r="138" spans="1:19" ht="16.5" customHeight="1" x14ac:dyDescent="0.25">
      <c r="A138" s="259"/>
      <c r="B138" s="247"/>
      <c r="C138" s="247"/>
      <c r="D138" s="247"/>
      <c r="E138" s="153"/>
      <c r="F138" s="247"/>
      <c r="G138" s="247"/>
      <c r="H138" s="247" t="str">
        <f t="shared" si="12"/>
        <v/>
      </c>
      <c r="I138" s="247"/>
      <c r="J138" s="247"/>
      <c r="K138" s="247"/>
      <c r="L138" s="155"/>
      <c r="P138" s="100" t="str">
        <f t="shared" si="8"/>
        <v/>
      </c>
      <c r="Q138" s="10" t="str">
        <f t="shared" si="9"/>
        <v/>
      </c>
      <c r="R138" s="10" t="str">
        <f t="shared" si="10"/>
        <v/>
      </c>
      <c r="S138" s="10" t="str">
        <f t="shared" si="11"/>
        <v/>
      </c>
    </row>
    <row r="139" spans="1:19" ht="16.5" customHeight="1" x14ac:dyDescent="0.25">
      <c r="A139" s="259"/>
      <c r="B139" s="247"/>
      <c r="C139" s="247"/>
      <c r="D139" s="247"/>
      <c r="E139" s="153"/>
      <c r="F139" s="247"/>
      <c r="G139" s="247"/>
      <c r="H139" s="247" t="str">
        <f t="shared" si="12"/>
        <v/>
      </c>
      <c r="I139" s="247"/>
      <c r="J139" s="247"/>
      <c r="K139" s="247"/>
      <c r="L139" s="155"/>
      <c r="P139" s="100" t="str">
        <f t="shared" si="8"/>
        <v/>
      </c>
      <c r="Q139" s="10" t="str">
        <f t="shared" si="9"/>
        <v/>
      </c>
      <c r="R139" s="10" t="str">
        <f t="shared" si="10"/>
        <v/>
      </c>
      <c r="S139" s="10" t="str">
        <f t="shared" si="11"/>
        <v/>
      </c>
    </row>
    <row r="140" spans="1:19" ht="16.5" customHeight="1" x14ac:dyDescent="0.25">
      <c r="A140" s="259"/>
      <c r="B140" s="247"/>
      <c r="C140" s="247"/>
      <c r="D140" s="247"/>
      <c r="E140" s="153"/>
      <c r="F140" s="247"/>
      <c r="G140" s="247"/>
      <c r="H140" s="247" t="str">
        <f t="shared" si="12"/>
        <v/>
      </c>
      <c r="I140" s="247"/>
      <c r="J140" s="247"/>
      <c r="K140" s="247"/>
      <c r="L140" s="155"/>
      <c r="P140" s="100" t="str">
        <f t="shared" si="8"/>
        <v/>
      </c>
      <c r="Q140" s="10" t="str">
        <f t="shared" si="9"/>
        <v/>
      </c>
      <c r="R140" s="10" t="str">
        <f t="shared" si="10"/>
        <v/>
      </c>
      <c r="S140" s="10" t="str">
        <f t="shared" si="11"/>
        <v/>
      </c>
    </row>
    <row r="141" spans="1:19" ht="16.5" customHeight="1" x14ac:dyDescent="0.25">
      <c r="A141" s="259"/>
      <c r="B141" s="247"/>
      <c r="C141" s="247"/>
      <c r="D141" s="247"/>
      <c r="E141" s="153"/>
      <c r="F141" s="247"/>
      <c r="G141" s="247"/>
      <c r="H141" s="247" t="str">
        <f t="shared" si="12"/>
        <v/>
      </c>
      <c r="I141" s="247"/>
      <c r="J141" s="247"/>
      <c r="K141" s="247"/>
      <c r="L141" s="155"/>
      <c r="P141" s="100" t="str">
        <f t="shared" si="8"/>
        <v/>
      </c>
      <c r="Q141" s="10" t="str">
        <f t="shared" si="9"/>
        <v/>
      </c>
      <c r="R141" s="10" t="str">
        <f t="shared" si="10"/>
        <v/>
      </c>
      <c r="S141" s="10" t="str">
        <f t="shared" si="11"/>
        <v/>
      </c>
    </row>
    <row r="142" spans="1:19" ht="16.5" customHeight="1" x14ac:dyDescent="0.25">
      <c r="A142" s="259"/>
      <c r="B142" s="247"/>
      <c r="C142" s="247"/>
      <c r="D142" s="247"/>
      <c r="E142" s="153"/>
      <c r="F142" s="247"/>
      <c r="G142" s="247"/>
      <c r="H142" s="247" t="str">
        <f t="shared" si="12"/>
        <v/>
      </c>
      <c r="I142" s="247"/>
      <c r="J142" s="247"/>
      <c r="K142" s="247"/>
      <c r="L142" s="155"/>
      <c r="P142" s="100" t="str">
        <f t="shared" si="8"/>
        <v/>
      </c>
      <c r="Q142" s="10" t="str">
        <f t="shared" si="9"/>
        <v/>
      </c>
      <c r="R142" s="10" t="str">
        <f t="shared" si="10"/>
        <v/>
      </c>
      <c r="S142" s="10" t="str">
        <f t="shared" si="11"/>
        <v/>
      </c>
    </row>
    <row r="143" spans="1:19" ht="16.5" customHeight="1" x14ac:dyDescent="0.25">
      <c r="A143" s="259"/>
      <c r="B143" s="247"/>
      <c r="C143" s="247"/>
      <c r="D143" s="247"/>
      <c r="E143" s="153"/>
      <c r="F143" s="247"/>
      <c r="G143" s="247"/>
      <c r="H143" s="247" t="str">
        <f t="shared" si="12"/>
        <v/>
      </c>
      <c r="I143" s="247"/>
      <c r="J143" s="247"/>
      <c r="K143" s="247"/>
      <c r="L143" s="155"/>
      <c r="P143" s="100" t="str">
        <f t="shared" si="8"/>
        <v/>
      </c>
      <c r="Q143" s="10" t="str">
        <f t="shared" si="9"/>
        <v/>
      </c>
      <c r="R143" s="10" t="str">
        <f t="shared" si="10"/>
        <v/>
      </c>
      <c r="S143" s="10" t="str">
        <f t="shared" si="11"/>
        <v/>
      </c>
    </row>
    <row r="144" spans="1:19" ht="16.5" customHeight="1" x14ac:dyDescent="0.25">
      <c r="A144" s="259"/>
      <c r="B144" s="247"/>
      <c r="C144" s="247"/>
      <c r="D144" s="247"/>
      <c r="E144" s="153"/>
      <c r="F144" s="247"/>
      <c r="G144" s="247"/>
      <c r="H144" s="247" t="str">
        <f t="shared" si="12"/>
        <v/>
      </c>
      <c r="I144" s="247"/>
      <c r="J144" s="247"/>
      <c r="K144" s="247"/>
      <c r="L144" s="155"/>
      <c r="P144" s="100" t="str">
        <f t="shared" si="8"/>
        <v/>
      </c>
      <c r="Q144" s="10" t="str">
        <f t="shared" si="9"/>
        <v/>
      </c>
      <c r="R144" s="10" t="str">
        <f t="shared" si="10"/>
        <v/>
      </c>
      <c r="S144" s="10" t="str">
        <f t="shared" si="11"/>
        <v/>
      </c>
    </row>
    <row r="145" spans="1:19" ht="16.5" customHeight="1" x14ac:dyDescent="0.25">
      <c r="A145" s="259"/>
      <c r="B145" s="247"/>
      <c r="C145" s="247"/>
      <c r="D145" s="247"/>
      <c r="E145" s="153"/>
      <c r="F145" s="247"/>
      <c r="G145" s="247"/>
      <c r="H145" s="247" t="str">
        <f t="shared" si="12"/>
        <v/>
      </c>
      <c r="I145" s="247"/>
      <c r="J145" s="247"/>
      <c r="K145" s="247"/>
      <c r="L145" s="155"/>
      <c r="P145" s="100" t="str">
        <f t="shared" si="8"/>
        <v/>
      </c>
      <c r="Q145" s="10" t="str">
        <f t="shared" si="9"/>
        <v/>
      </c>
      <c r="R145" s="10" t="str">
        <f t="shared" si="10"/>
        <v/>
      </c>
      <c r="S145" s="10" t="str">
        <f t="shared" si="11"/>
        <v/>
      </c>
    </row>
    <row r="146" spans="1:19" ht="16.5" customHeight="1" x14ac:dyDescent="0.25">
      <c r="A146" s="259"/>
      <c r="B146" s="247"/>
      <c r="C146" s="247"/>
      <c r="D146" s="247"/>
      <c r="E146" s="81"/>
      <c r="F146" s="247"/>
      <c r="G146" s="247"/>
      <c r="H146" s="247" t="str">
        <f t="shared" ref="H146:H153" si="13">IF(A146="","",A146-C146)</f>
        <v/>
      </c>
      <c r="I146" s="247"/>
      <c r="J146" s="247"/>
      <c r="K146" s="247"/>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259"/>
      <c r="B147" s="247"/>
      <c r="C147" s="247"/>
      <c r="D147" s="247"/>
      <c r="E147" s="81"/>
      <c r="F147" s="247"/>
      <c r="G147" s="247"/>
      <c r="H147" s="247" t="str">
        <f t="shared" si="13"/>
        <v/>
      </c>
      <c r="I147" s="247"/>
      <c r="J147" s="247"/>
      <c r="K147" s="247"/>
      <c r="L147" s="92" t="str">
        <f t="shared" si="14"/>
        <v/>
      </c>
      <c r="P147" s="100" t="str">
        <f t="shared" si="8"/>
        <v/>
      </c>
      <c r="Q147" s="10" t="str">
        <f t="shared" si="9"/>
        <v/>
      </c>
      <c r="R147" s="10" t="str">
        <f t="shared" si="10"/>
        <v/>
      </c>
      <c r="S147" s="10" t="str">
        <f t="shared" si="11"/>
        <v/>
      </c>
    </row>
    <row r="148" spans="1:19" ht="16.5" customHeight="1" x14ac:dyDescent="0.25">
      <c r="A148" s="259"/>
      <c r="B148" s="247"/>
      <c r="C148" s="247"/>
      <c r="D148" s="247"/>
      <c r="E148" s="81"/>
      <c r="F148" s="247"/>
      <c r="G148" s="247"/>
      <c r="H148" s="247" t="str">
        <f t="shared" si="13"/>
        <v/>
      </c>
      <c r="I148" s="247"/>
      <c r="J148" s="247"/>
      <c r="K148" s="247"/>
      <c r="L148" s="92" t="str">
        <f t="shared" si="14"/>
        <v/>
      </c>
      <c r="P148" s="100" t="str">
        <f t="shared" si="8"/>
        <v/>
      </c>
      <c r="Q148" s="10" t="str">
        <f t="shared" si="9"/>
        <v/>
      </c>
      <c r="R148" s="10" t="str">
        <f t="shared" si="10"/>
        <v/>
      </c>
      <c r="S148" s="10" t="str">
        <f t="shared" si="11"/>
        <v/>
      </c>
    </row>
    <row r="149" spans="1:19" ht="16.5" customHeight="1" x14ac:dyDescent="0.25">
      <c r="A149" s="259"/>
      <c r="B149" s="247"/>
      <c r="C149" s="247"/>
      <c r="D149" s="247"/>
      <c r="E149" s="81"/>
      <c r="F149" s="247"/>
      <c r="G149" s="247"/>
      <c r="H149" s="247" t="str">
        <f t="shared" si="13"/>
        <v/>
      </c>
      <c r="I149" s="247"/>
      <c r="J149" s="247"/>
      <c r="K149" s="247"/>
      <c r="L149" s="92" t="str">
        <f t="shared" si="14"/>
        <v/>
      </c>
      <c r="P149" s="100" t="str">
        <f t="shared" si="8"/>
        <v/>
      </c>
      <c r="Q149" s="10" t="str">
        <f t="shared" si="9"/>
        <v/>
      </c>
      <c r="R149" s="10" t="str">
        <f t="shared" si="10"/>
        <v/>
      </c>
      <c r="S149" s="10" t="str">
        <f t="shared" si="11"/>
        <v/>
      </c>
    </row>
    <row r="150" spans="1:19" ht="16.5" customHeight="1" x14ac:dyDescent="0.25">
      <c r="A150" s="259"/>
      <c r="B150" s="247"/>
      <c r="C150" s="247"/>
      <c r="D150" s="247"/>
      <c r="E150" s="81"/>
      <c r="F150" s="247"/>
      <c r="G150" s="247"/>
      <c r="H150" s="247" t="str">
        <f t="shared" si="13"/>
        <v/>
      </c>
      <c r="I150" s="247"/>
      <c r="J150" s="247"/>
      <c r="K150" s="247"/>
      <c r="L150" s="92" t="str">
        <f t="shared" si="14"/>
        <v/>
      </c>
      <c r="P150" s="100" t="str">
        <f t="shared" si="8"/>
        <v/>
      </c>
      <c r="Q150" s="10" t="str">
        <f t="shared" si="9"/>
        <v/>
      </c>
      <c r="R150" s="10" t="str">
        <f t="shared" si="10"/>
        <v/>
      </c>
      <c r="S150" s="10" t="str">
        <f t="shared" si="11"/>
        <v/>
      </c>
    </row>
    <row r="151" spans="1:19" ht="16.5" customHeight="1" x14ac:dyDescent="0.25">
      <c r="A151" s="259"/>
      <c r="B151" s="247"/>
      <c r="C151" s="247"/>
      <c r="D151" s="247"/>
      <c r="E151" s="81"/>
      <c r="F151" s="247"/>
      <c r="G151" s="247"/>
      <c r="H151" s="247" t="str">
        <f t="shared" si="13"/>
        <v/>
      </c>
      <c r="I151" s="247"/>
      <c r="J151" s="247"/>
      <c r="K151" s="247"/>
      <c r="L151" s="92" t="str">
        <f t="shared" si="14"/>
        <v/>
      </c>
      <c r="P151" s="100" t="str">
        <f t="shared" si="8"/>
        <v/>
      </c>
      <c r="Q151" s="10" t="str">
        <f t="shared" si="9"/>
        <v/>
      </c>
      <c r="R151" s="10" t="str">
        <f t="shared" si="10"/>
        <v/>
      </c>
      <c r="S151" s="10" t="str">
        <f t="shared" si="11"/>
        <v/>
      </c>
    </row>
    <row r="152" spans="1:19" ht="16.5" customHeight="1" x14ac:dyDescent="0.25">
      <c r="A152" s="259"/>
      <c r="B152" s="247"/>
      <c r="C152" s="247"/>
      <c r="D152" s="247"/>
      <c r="E152" s="81"/>
      <c r="F152" s="247"/>
      <c r="G152" s="247"/>
      <c r="H152" s="247" t="str">
        <f t="shared" si="13"/>
        <v/>
      </c>
      <c r="I152" s="247"/>
      <c r="J152" s="247"/>
      <c r="K152" s="247"/>
      <c r="L152" s="92" t="str">
        <f t="shared" si="14"/>
        <v/>
      </c>
      <c r="P152" s="100" t="str">
        <f t="shared" si="8"/>
        <v/>
      </c>
      <c r="Q152" s="10" t="str">
        <f t="shared" si="9"/>
        <v/>
      </c>
      <c r="R152" s="10" t="str">
        <f t="shared" si="10"/>
        <v/>
      </c>
      <c r="S152" s="10" t="str">
        <f t="shared" si="11"/>
        <v/>
      </c>
    </row>
    <row r="153" spans="1:19" ht="16.5" customHeight="1" thickBot="1" x14ac:dyDescent="0.3">
      <c r="A153" s="267"/>
      <c r="B153" s="266"/>
      <c r="C153" s="266"/>
      <c r="D153" s="266"/>
      <c r="E153" s="83"/>
      <c r="F153" s="266"/>
      <c r="G153" s="266"/>
      <c r="H153" s="266" t="str">
        <f t="shared" si="13"/>
        <v/>
      </c>
      <c r="I153" s="266"/>
      <c r="J153" s="266"/>
      <c r="K153" s="266"/>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 ref="J143:K143"/>
    <mergeCell ref="J144:K144"/>
    <mergeCell ref="J145:K145"/>
    <mergeCell ref="J134:K134"/>
    <mergeCell ref="J135:K135"/>
    <mergeCell ref="J136:K136"/>
    <mergeCell ref="J137:K137"/>
    <mergeCell ref="J138:K138"/>
    <mergeCell ref="J139:K139"/>
    <mergeCell ref="J140:K140"/>
    <mergeCell ref="J141:K141"/>
    <mergeCell ref="J142:K142"/>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H83:I83"/>
    <mergeCell ref="H82:I82"/>
    <mergeCell ref="H81:I81"/>
    <mergeCell ref="H80:I80"/>
    <mergeCell ref="H79:I79"/>
    <mergeCell ref="H78:I78"/>
    <mergeCell ref="H77:I77"/>
    <mergeCell ref="F88:G88"/>
    <mergeCell ref="F87:G87"/>
    <mergeCell ref="F86:G86"/>
    <mergeCell ref="F85:G85"/>
    <mergeCell ref="C78:D78"/>
    <mergeCell ref="C77:D77"/>
    <mergeCell ref="F84:G84"/>
    <mergeCell ref="F83:G83"/>
    <mergeCell ref="F82:G82"/>
    <mergeCell ref="F81:G81"/>
    <mergeCell ref="F80:G80"/>
    <mergeCell ref="A84:B84"/>
    <mergeCell ref="A83:B83"/>
    <mergeCell ref="A82:B82"/>
    <mergeCell ref="A81:B81"/>
    <mergeCell ref="A80:B80"/>
    <mergeCell ref="C87:D87"/>
    <mergeCell ref="C86:D86"/>
    <mergeCell ref="C85:D85"/>
    <mergeCell ref="C84:D84"/>
    <mergeCell ref="C83:D83"/>
    <mergeCell ref="C82:D82"/>
    <mergeCell ref="C81:D81"/>
    <mergeCell ref="C80:D80"/>
    <mergeCell ref="C79:D79"/>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7:D37"/>
    <mergeCell ref="E37:F37"/>
    <mergeCell ref="G37:H37"/>
    <mergeCell ref="I37:J37"/>
    <mergeCell ref="K37:L37"/>
    <mergeCell ref="A35:B35"/>
    <mergeCell ref="C35:D35"/>
    <mergeCell ref="E35:F35"/>
    <mergeCell ref="G35:H35"/>
    <mergeCell ref="I35:J35"/>
    <mergeCell ref="K35:L35"/>
    <mergeCell ref="A39:B39"/>
    <mergeCell ref="C39:L39"/>
    <mergeCell ref="A42:L42"/>
    <mergeCell ref="A43:B43"/>
    <mergeCell ref="D43:E43"/>
    <mergeCell ref="G43:H43"/>
    <mergeCell ref="J43:K43"/>
    <mergeCell ref="A38:B38"/>
    <mergeCell ref="C38:D38"/>
    <mergeCell ref="E38:F38"/>
    <mergeCell ref="G38:H38"/>
    <mergeCell ref="I38:J38"/>
    <mergeCell ref="K38:L3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s>
  <conditionalFormatting sqref="L76:L96">
    <cfRule type="containsText" dxfId="9" priority="7" operator="containsText" text="Fail">
      <formula>NOT(ISERROR(SEARCH("Fail",L76)))</formula>
    </cfRule>
    <cfRule type="containsText" dxfId="8" priority="8" operator="containsText" text="Pass">
      <formula>NOT(ISERROR(SEARCH("Pass",L76)))</formula>
    </cfRule>
  </conditionalFormatting>
  <conditionalFormatting sqref="K154:K155">
    <cfRule type="containsText" dxfId="7" priority="3" operator="containsText" text="Fail">
      <formula>NOT(ISERROR(SEARCH("Fail",K154)))</formula>
    </cfRule>
    <cfRule type="containsText" dxfId="6" priority="4" operator="containsText" text="Pass">
      <formula>NOT(ISERROR(SEARCH("Pass",K154)))</formula>
    </cfRule>
  </conditionalFormatting>
  <conditionalFormatting sqref="L133:L153">
    <cfRule type="containsText" dxfId="5" priority="1" operator="containsText" text="Fail">
      <formula>NOT(ISERROR(SEARCH("Fail",L133)))</formula>
    </cfRule>
    <cfRule type="containsText" dxfId="4"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2"/>
  <sheetViews>
    <sheetView tabSelected="1" zoomScale="70" zoomScaleNormal="70" workbookViewId="0">
      <selection activeCell="S78" sqref="S78"/>
    </sheetView>
  </sheetViews>
  <sheetFormatPr defaultColWidth="12" defaultRowHeight="15.75" customHeight="1" x14ac:dyDescent="0.25"/>
  <cols>
    <col min="1" max="6" width="13" style="10" customWidth="1"/>
    <col min="7" max="7" width="16.8554687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15.75" customHeight="1" x14ac:dyDescent="0.25">
      <c r="A1" s="289"/>
      <c r="B1" s="289"/>
      <c r="C1" s="289"/>
      <c r="D1" s="289"/>
      <c r="E1" s="290" t="s">
        <v>48</v>
      </c>
      <c r="F1" s="290"/>
      <c r="G1" s="290"/>
      <c r="H1" s="290"/>
      <c r="I1" s="290"/>
      <c r="J1" s="290"/>
      <c r="K1" s="290"/>
      <c r="L1" s="290"/>
    </row>
    <row r="2" spans="1:14" s="32" customFormat="1" ht="15.75" customHeight="1" x14ac:dyDescent="0.25">
      <c r="A2" s="289"/>
      <c r="B2" s="289"/>
      <c r="C2" s="289"/>
      <c r="D2" s="289"/>
      <c r="E2" s="290"/>
      <c r="F2" s="290"/>
      <c r="G2" s="290"/>
      <c r="H2" s="290"/>
      <c r="I2" s="290"/>
      <c r="J2" s="290"/>
      <c r="K2" s="290"/>
      <c r="L2" s="290"/>
    </row>
    <row r="3" spans="1:14" s="32" customFormat="1" ht="15.75" customHeight="1" x14ac:dyDescent="0.25">
      <c r="A3" s="289"/>
      <c r="B3" s="289"/>
      <c r="C3" s="289"/>
      <c r="D3" s="289"/>
      <c r="E3" s="290"/>
      <c r="F3" s="290"/>
      <c r="G3" s="290"/>
      <c r="H3" s="290"/>
      <c r="I3" s="290"/>
      <c r="J3" s="290"/>
      <c r="K3" s="290"/>
      <c r="L3" s="290"/>
    </row>
    <row r="4" spans="1:14" s="32" customFormat="1" ht="15.75" customHeight="1" x14ac:dyDescent="0.25">
      <c r="A4" s="289"/>
      <c r="B4" s="289"/>
      <c r="C4" s="289"/>
      <c r="D4" s="289"/>
      <c r="E4" s="299" t="s">
        <v>2605</v>
      </c>
      <c r="F4" s="299"/>
      <c r="G4" s="299"/>
      <c r="H4" s="299"/>
      <c r="I4" s="299"/>
      <c r="J4" s="299"/>
      <c r="K4" s="299"/>
      <c r="L4" s="299"/>
    </row>
    <row r="5" spans="1:14" s="32" customFormat="1" ht="15.75" customHeight="1" x14ac:dyDescent="0.25">
      <c r="A5" s="289"/>
      <c r="B5" s="289"/>
      <c r="C5" s="289"/>
      <c r="D5" s="289"/>
      <c r="E5" s="299"/>
      <c r="F5" s="299"/>
      <c r="G5" s="299"/>
      <c r="H5" s="299"/>
      <c r="I5" s="299"/>
      <c r="J5" s="299"/>
      <c r="K5" s="299"/>
      <c r="L5" s="299"/>
    </row>
    <row r="6" spans="1:14" s="32" customFormat="1" ht="15.75" customHeight="1" x14ac:dyDescent="0.25">
      <c r="A6" s="289"/>
      <c r="B6" s="289"/>
      <c r="C6" s="289"/>
      <c r="D6" s="289"/>
      <c r="E6" s="299"/>
      <c r="F6" s="299"/>
      <c r="G6" s="299"/>
      <c r="H6" s="299"/>
      <c r="I6" s="299"/>
      <c r="J6" s="299"/>
      <c r="K6" s="299"/>
      <c r="L6" s="299"/>
    </row>
    <row r="7" spans="1:14" s="32" customFormat="1" ht="15.75" customHeight="1" thickBot="1" x14ac:dyDescent="0.3">
      <c r="E7" s="161"/>
      <c r="F7" s="161"/>
      <c r="G7" s="161"/>
      <c r="H7" s="161"/>
      <c r="I7" s="161"/>
      <c r="J7" s="161"/>
      <c r="K7" s="161"/>
      <c r="L7" s="161"/>
    </row>
    <row r="8" spans="1:14" s="32" customFormat="1" ht="18.75" customHeight="1" thickBot="1" x14ac:dyDescent="0.3">
      <c r="A8" s="260" t="s">
        <v>28</v>
      </c>
      <c r="B8" s="261"/>
      <c r="C8" s="261"/>
      <c r="D8" s="261"/>
      <c r="E8" s="261"/>
      <c r="F8" s="262"/>
      <c r="G8" s="260" t="s">
        <v>29</v>
      </c>
      <c r="H8" s="261"/>
      <c r="I8" s="261"/>
      <c r="J8" s="261"/>
      <c r="K8" s="261"/>
      <c r="L8" s="262"/>
    </row>
    <row r="9" spans="1:14" ht="19.5" customHeight="1" x14ac:dyDescent="0.25">
      <c r="A9" s="272" t="s">
        <v>31</v>
      </c>
      <c r="B9" s="270"/>
      <c r="C9" s="323"/>
      <c r="D9" s="323"/>
      <c r="E9" s="323"/>
      <c r="F9" s="324"/>
      <c r="G9" s="272" t="s">
        <v>36</v>
      </c>
      <c r="H9" s="270"/>
      <c r="I9" s="275"/>
      <c r="J9" s="275"/>
      <c r="K9" s="275"/>
      <c r="L9" s="276"/>
      <c r="M9" s="37"/>
      <c r="N9" s="37"/>
    </row>
    <row r="10" spans="1:14" ht="19.5" customHeight="1" x14ac:dyDescent="0.25">
      <c r="A10" s="245" t="s">
        <v>2597</v>
      </c>
      <c r="B10" s="246"/>
      <c r="C10" s="464"/>
      <c r="D10" s="465"/>
      <c r="E10" s="465"/>
      <c r="F10" s="466"/>
      <c r="G10" s="380" t="s">
        <v>37</v>
      </c>
      <c r="H10" s="381"/>
      <c r="I10" s="297"/>
      <c r="J10" s="462"/>
      <c r="K10" s="462"/>
      <c r="L10" s="463"/>
      <c r="M10" s="37"/>
      <c r="N10" s="37"/>
    </row>
    <row r="11" spans="1:14" ht="19.5" customHeight="1" x14ac:dyDescent="0.25">
      <c r="A11" s="245" t="s">
        <v>32</v>
      </c>
      <c r="B11" s="246"/>
      <c r="C11" s="247"/>
      <c r="D11" s="247"/>
      <c r="E11" s="247"/>
      <c r="F11" s="269"/>
      <c r="G11" s="380" t="s">
        <v>38</v>
      </c>
      <c r="H11" s="381"/>
      <c r="I11" s="297"/>
      <c r="J11" s="462"/>
      <c r="K11" s="462"/>
      <c r="L11" s="463"/>
      <c r="M11" s="37"/>
      <c r="N11" s="37"/>
    </row>
    <row r="12" spans="1:14" ht="19.5" customHeight="1" x14ac:dyDescent="0.25">
      <c r="A12" s="245"/>
      <c r="B12" s="246"/>
      <c r="C12" s="247"/>
      <c r="D12" s="247"/>
      <c r="E12" s="247"/>
      <c r="F12" s="269"/>
      <c r="G12" s="245" t="s">
        <v>39</v>
      </c>
      <c r="H12" s="246"/>
      <c r="I12" s="247" t="s">
        <v>50</v>
      </c>
      <c r="J12" s="247"/>
      <c r="K12" s="247"/>
      <c r="L12" s="269"/>
      <c r="M12" s="37"/>
      <c r="N12" s="37"/>
    </row>
    <row r="13" spans="1:14" ht="19.5" customHeight="1" x14ac:dyDescent="0.25">
      <c r="A13" s="245"/>
      <c r="B13" s="246"/>
      <c r="C13" s="247"/>
      <c r="D13" s="247"/>
      <c r="E13" s="247"/>
      <c r="F13" s="269"/>
      <c r="G13" s="245" t="s">
        <v>2598</v>
      </c>
      <c r="H13" s="246"/>
      <c r="I13" s="247"/>
      <c r="J13" s="247"/>
      <c r="K13" s="247"/>
      <c r="L13" s="269"/>
      <c r="M13" s="37"/>
      <c r="N13" s="37"/>
    </row>
    <row r="14" spans="1:14" ht="19.5" customHeight="1" x14ac:dyDescent="0.25">
      <c r="A14" s="245"/>
      <c r="B14" s="246"/>
      <c r="C14" s="247"/>
      <c r="D14" s="247"/>
      <c r="E14" s="247"/>
      <c r="F14" s="269"/>
      <c r="G14" s="245" t="s">
        <v>34</v>
      </c>
      <c r="H14" s="246"/>
      <c r="I14" s="279"/>
      <c r="J14" s="279"/>
      <c r="K14" s="279"/>
      <c r="L14" s="280"/>
      <c r="M14" s="37"/>
      <c r="N14" s="37"/>
    </row>
    <row r="15" spans="1:14" ht="19.5" customHeight="1" thickBot="1" x14ac:dyDescent="0.3">
      <c r="A15" s="277" t="s">
        <v>33</v>
      </c>
      <c r="B15" s="278"/>
      <c r="C15" s="319"/>
      <c r="D15" s="319"/>
      <c r="E15" s="319"/>
      <c r="F15" s="320"/>
      <c r="G15" s="277" t="s">
        <v>35</v>
      </c>
      <c r="H15" s="278"/>
      <c r="I15" s="281"/>
      <c r="J15" s="281"/>
      <c r="K15" s="281"/>
      <c r="L15" s="282"/>
      <c r="M15" s="37"/>
      <c r="N15" s="37"/>
    </row>
    <row r="16" spans="1:14" x14ac:dyDescent="0.25">
      <c r="A16" s="67"/>
      <c r="B16" s="67"/>
      <c r="C16" s="157"/>
      <c r="D16" s="157"/>
      <c r="E16" s="157"/>
      <c r="F16" s="157"/>
      <c r="G16" s="67"/>
      <c r="H16" s="67"/>
      <c r="I16" s="68"/>
      <c r="J16" s="68"/>
      <c r="K16" s="68"/>
      <c r="L16" s="68"/>
      <c r="M16" s="37"/>
      <c r="N16" s="37"/>
    </row>
    <row r="17" spans="1:26" ht="32.25" customHeight="1" x14ac:dyDescent="0.25">
      <c r="A17" s="292" t="s">
        <v>2606</v>
      </c>
      <c r="B17" s="292"/>
      <c r="C17" s="292"/>
      <c r="D17" s="292"/>
      <c r="E17" s="292"/>
      <c r="F17" s="292"/>
      <c r="G17" s="292"/>
      <c r="H17" s="292"/>
      <c r="I17" s="292"/>
      <c r="J17" s="292"/>
      <c r="K17" s="292"/>
      <c r="L17" s="292"/>
      <c r="M17" s="159"/>
      <c r="N17" s="179"/>
      <c r="P17" s="178"/>
      <c r="Q17" s="178"/>
      <c r="R17" s="178"/>
      <c r="S17" s="178"/>
      <c r="T17" s="178"/>
      <c r="U17" s="178"/>
      <c r="V17" s="178"/>
      <c r="W17" s="178"/>
      <c r="X17" s="178"/>
      <c r="Y17" s="178"/>
      <c r="Z17" s="178"/>
    </row>
    <row r="18" spans="1:26" ht="32.25" customHeight="1" x14ac:dyDescent="0.25">
      <c r="A18" s="292"/>
      <c r="B18" s="292"/>
      <c r="C18" s="292"/>
      <c r="D18" s="292"/>
      <c r="E18" s="292"/>
      <c r="F18" s="292"/>
      <c r="G18" s="292"/>
      <c r="H18" s="292"/>
      <c r="I18" s="292"/>
      <c r="J18" s="292"/>
      <c r="K18" s="292"/>
      <c r="L18" s="292"/>
      <c r="M18" s="159"/>
      <c r="N18" s="179"/>
      <c r="P18" s="178"/>
      <c r="Q18" s="178"/>
      <c r="R18" s="178"/>
      <c r="S18" s="178"/>
      <c r="T18" s="178"/>
      <c r="U18" s="178"/>
      <c r="V18" s="178"/>
      <c r="W18" s="178"/>
      <c r="X18" s="178"/>
      <c r="Y18" s="178"/>
      <c r="Z18" s="178"/>
    </row>
    <row r="19" spans="1:26" ht="15.75" customHeight="1" thickBot="1" x14ac:dyDescent="0.3">
      <c r="A19" s="37"/>
      <c r="B19" s="37"/>
      <c r="C19" s="37"/>
      <c r="D19" s="37"/>
      <c r="E19" s="37"/>
      <c r="F19" s="37"/>
      <c r="G19" s="37"/>
      <c r="H19" s="37"/>
      <c r="I19" s="37"/>
      <c r="J19" s="37"/>
      <c r="K19" s="37"/>
      <c r="L19" s="37"/>
      <c r="M19" s="159"/>
      <c r="N19" s="179"/>
    </row>
    <row r="20" spans="1:26" ht="18.75" customHeight="1" thickBot="1" x14ac:dyDescent="0.3">
      <c r="A20" s="260" t="s">
        <v>20</v>
      </c>
      <c r="B20" s="261"/>
      <c r="C20" s="261"/>
      <c r="D20" s="261"/>
      <c r="E20" s="261"/>
      <c r="F20" s="261"/>
      <c r="G20" s="261"/>
      <c r="H20" s="261"/>
      <c r="I20" s="261"/>
      <c r="J20" s="261"/>
      <c r="K20" s="261"/>
      <c r="L20" s="262"/>
      <c r="M20" s="37"/>
      <c r="N20" s="37"/>
    </row>
    <row r="21" spans="1:26" ht="18.75" customHeight="1" x14ac:dyDescent="0.25">
      <c r="A21" s="272" t="s">
        <v>23</v>
      </c>
      <c r="B21" s="270"/>
      <c r="C21" s="270"/>
      <c r="D21" s="270"/>
      <c r="E21" s="270" t="s">
        <v>22</v>
      </c>
      <c r="F21" s="270"/>
      <c r="G21" s="270" t="s">
        <v>21</v>
      </c>
      <c r="H21" s="270"/>
      <c r="I21" s="270" t="s">
        <v>53</v>
      </c>
      <c r="J21" s="270"/>
      <c r="K21" s="270" t="s">
        <v>54</v>
      </c>
      <c r="L21" s="271"/>
      <c r="M21" s="37"/>
      <c r="N21" s="37"/>
    </row>
    <row r="22" spans="1:26" ht="18.75" customHeight="1" x14ac:dyDescent="0.25">
      <c r="A22" s="321"/>
      <c r="B22" s="317"/>
      <c r="C22" s="317"/>
      <c r="D22" s="317"/>
      <c r="E22" s="317"/>
      <c r="F22" s="317"/>
      <c r="G22" s="317"/>
      <c r="H22" s="317"/>
      <c r="I22" s="317"/>
      <c r="J22" s="317"/>
      <c r="K22" s="317"/>
      <c r="L22" s="322"/>
      <c r="M22" s="37"/>
      <c r="N22" s="37"/>
    </row>
    <row r="23" spans="1:26" ht="18.75" customHeight="1" x14ac:dyDescent="0.25">
      <c r="A23" s="321"/>
      <c r="B23" s="317"/>
      <c r="C23" s="317"/>
      <c r="D23" s="317"/>
      <c r="E23" s="317"/>
      <c r="F23" s="317"/>
      <c r="G23" s="317"/>
      <c r="H23" s="317"/>
      <c r="I23" s="317"/>
      <c r="J23" s="317"/>
      <c r="K23" s="317"/>
      <c r="L23" s="322"/>
      <c r="M23" s="37"/>
      <c r="N23" s="37"/>
    </row>
    <row r="24" spans="1:26" ht="18.75" customHeight="1" x14ac:dyDescent="0.25">
      <c r="A24" s="321"/>
      <c r="B24" s="317"/>
      <c r="C24" s="317"/>
      <c r="D24" s="317"/>
      <c r="E24" s="317"/>
      <c r="F24" s="317"/>
      <c r="G24" s="317"/>
      <c r="H24" s="317"/>
      <c r="I24" s="317"/>
      <c r="J24" s="317"/>
      <c r="K24" s="317"/>
      <c r="L24" s="322"/>
      <c r="M24" s="37"/>
      <c r="N24" s="37"/>
    </row>
    <row r="25" spans="1:26" ht="18.75" customHeight="1" x14ac:dyDescent="0.25">
      <c r="A25" s="321"/>
      <c r="B25" s="317"/>
      <c r="C25" s="317"/>
      <c r="D25" s="317"/>
      <c r="E25" s="317"/>
      <c r="F25" s="317"/>
      <c r="G25" s="317"/>
      <c r="H25" s="317"/>
      <c r="I25" s="317"/>
      <c r="J25" s="317"/>
      <c r="K25" s="317"/>
      <c r="L25" s="322"/>
      <c r="M25" s="37"/>
      <c r="N25" s="37"/>
    </row>
    <row r="26" spans="1:26" ht="18.75" customHeight="1" x14ac:dyDescent="0.25">
      <c r="A26" s="321"/>
      <c r="B26" s="317"/>
      <c r="C26" s="317"/>
      <c r="D26" s="317"/>
      <c r="E26" s="317"/>
      <c r="F26" s="317"/>
      <c r="G26" s="317"/>
      <c r="H26" s="317"/>
      <c r="I26" s="317"/>
      <c r="J26" s="317"/>
      <c r="K26" s="317"/>
      <c r="L26" s="322"/>
      <c r="M26" s="37"/>
      <c r="N26" s="37"/>
    </row>
    <row r="27" spans="1:26" ht="18.75" customHeight="1" x14ac:dyDescent="0.25">
      <c r="A27" s="321"/>
      <c r="B27" s="317"/>
      <c r="C27" s="317"/>
      <c r="D27" s="317"/>
      <c r="E27" s="317"/>
      <c r="F27" s="317"/>
      <c r="G27" s="317"/>
      <c r="H27" s="317"/>
      <c r="I27" s="317"/>
      <c r="J27" s="317"/>
      <c r="K27" s="317"/>
      <c r="L27" s="322"/>
      <c r="M27" s="37"/>
      <c r="N27" s="37"/>
    </row>
    <row r="28" spans="1:26" ht="18.75" customHeight="1" x14ac:dyDescent="0.25">
      <c r="A28" s="321"/>
      <c r="B28" s="317"/>
      <c r="C28" s="317"/>
      <c r="D28" s="317"/>
      <c r="E28" s="317"/>
      <c r="F28" s="317"/>
      <c r="G28" s="317"/>
      <c r="H28" s="317"/>
      <c r="I28" s="317"/>
      <c r="J28" s="317"/>
      <c r="K28" s="317"/>
      <c r="L28" s="322"/>
      <c r="M28" s="37"/>
      <c r="N28" s="37"/>
    </row>
    <row r="29" spans="1:26" ht="18.75" customHeight="1" x14ac:dyDescent="0.25">
      <c r="A29" s="321"/>
      <c r="B29" s="317"/>
      <c r="C29" s="317"/>
      <c r="D29" s="317"/>
      <c r="E29" s="317"/>
      <c r="F29" s="317"/>
      <c r="G29" s="317"/>
      <c r="H29" s="317"/>
      <c r="I29" s="317"/>
      <c r="J29" s="317"/>
      <c r="K29" s="317"/>
      <c r="L29" s="322"/>
      <c r="M29" s="37"/>
      <c r="N29" s="37"/>
    </row>
    <row r="30" spans="1:26" ht="18.75" customHeight="1" x14ac:dyDescent="0.25">
      <c r="A30" s="321"/>
      <c r="B30" s="317"/>
      <c r="C30" s="317"/>
      <c r="D30" s="317"/>
      <c r="E30" s="317"/>
      <c r="F30" s="317"/>
      <c r="G30" s="317"/>
      <c r="H30" s="317"/>
      <c r="I30" s="317"/>
      <c r="J30" s="317"/>
      <c r="K30" s="317"/>
      <c r="L30" s="322"/>
      <c r="M30" s="37"/>
      <c r="N30" s="37"/>
    </row>
    <row r="31" spans="1:26" ht="18.75" customHeight="1" thickBot="1" x14ac:dyDescent="0.3">
      <c r="A31" s="318"/>
      <c r="B31" s="319"/>
      <c r="C31" s="319"/>
      <c r="D31" s="319"/>
      <c r="E31" s="319"/>
      <c r="F31" s="319"/>
      <c r="G31" s="319"/>
      <c r="H31" s="319"/>
      <c r="I31" s="319"/>
      <c r="J31" s="319"/>
      <c r="K31" s="319"/>
      <c r="L31" s="320"/>
      <c r="M31" s="37"/>
      <c r="N31" s="37"/>
    </row>
    <row r="32" spans="1:26" thickBot="1" x14ac:dyDescent="0.3">
      <c r="A32" s="37"/>
      <c r="B32" s="37"/>
      <c r="C32" s="37"/>
      <c r="D32" s="37"/>
      <c r="E32" s="37"/>
      <c r="F32" s="37"/>
      <c r="G32" s="37"/>
      <c r="H32" s="37"/>
      <c r="I32" s="37"/>
      <c r="J32" s="37"/>
      <c r="K32" s="37"/>
      <c r="L32" s="37"/>
      <c r="M32" s="159"/>
      <c r="N32" s="179"/>
    </row>
    <row r="33" spans="1:14" ht="19.5" customHeight="1" thickBot="1" x14ac:dyDescent="0.3">
      <c r="A33" s="260" t="s">
        <v>13</v>
      </c>
      <c r="B33" s="261"/>
      <c r="C33" s="261"/>
      <c r="D33" s="261"/>
      <c r="E33" s="261"/>
      <c r="F33" s="261"/>
      <c r="G33" s="261"/>
      <c r="H33" s="261"/>
      <c r="I33" s="261"/>
      <c r="J33" s="261"/>
      <c r="K33" s="261"/>
      <c r="L33" s="262"/>
      <c r="M33" s="37"/>
      <c r="N33" s="37"/>
    </row>
    <row r="34" spans="1:14" ht="19.5" customHeight="1" x14ac:dyDescent="0.25">
      <c r="A34" s="272" t="s">
        <v>30</v>
      </c>
      <c r="B34" s="270"/>
      <c r="C34" s="283"/>
      <c r="D34" s="283"/>
      <c r="E34" s="283"/>
      <c r="F34" s="283"/>
      <c r="G34" s="283"/>
      <c r="H34" s="283"/>
      <c r="I34" s="270" t="s">
        <v>25</v>
      </c>
      <c r="J34" s="270"/>
      <c r="K34" s="283" t="s">
        <v>1769</v>
      </c>
      <c r="L34" s="284"/>
      <c r="M34" s="37"/>
      <c r="N34" s="37"/>
    </row>
    <row r="35" spans="1:14" ht="19.5" customHeight="1" x14ac:dyDescent="0.25">
      <c r="A35" s="245" t="s">
        <v>15</v>
      </c>
      <c r="B35" s="246"/>
      <c r="C35" s="317"/>
      <c r="D35" s="317"/>
      <c r="E35" s="246" t="s">
        <v>16</v>
      </c>
      <c r="F35" s="246"/>
      <c r="G35" s="247"/>
      <c r="H35" s="247"/>
      <c r="I35" s="246" t="s">
        <v>18</v>
      </c>
      <c r="J35" s="246"/>
      <c r="K35" s="247"/>
      <c r="L35" s="269"/>
      <c r="M35" s="37"/>
      <c r="N35" s="37"/>
    </row>
    <row r="36" spans="1:14" ht="19.5" customHeight="1" x14ac:dyDescent="0.25">
      <c r="A36" s="245" t="s">
        <v>14</v>
      </c>
      <c r="B36" s="246"/>
      <c r="C36" s="247"/>
      <c r="D36" s="247"/>
      <c r="E36" s="246" t="s">
        <v>42</v>
      </c>
      <c r="F36" s="246"/>
      <c r="G36" s="247"/>
      <c r="H36" s="247"/>
      <c r="I36" s="246" t="s">
        <v>43</v>
      </c>
      <c r="J36" s="246"/>
      <c r="K36" s="247"/>
      <c r="L36" s="269"/>
      <c r="M36" s="37"/>
      <c r="N36" s="37"/>
    </row>
    <row r="37" spans="1:14" ht="19.5" customHeight="1" x14ac:dyDescent="0.25">
      <c r="A37" s="245" t="s">
        <v>17</v>
      </c>
      <c r="B37" s="246"/>
      <c r="C37" s="247"/>
      <c r="D37" s="247"/>
      <c r="E37" s="246" t="s">
        <v>26</v>
      </c>
      <c r="F37" s="246"/>
      <c r="G37" s="247"/>
      <c r="H37" s="247"/>
      <c r="I37" s="246" t="s">
        <v>27</v>
      </c>
      <c r="J37" s="246"/>
      <c r="K37" s="247"/>
      <c r="L37" s="269"/>
      <c r="M37" s="37"/>
      <c r="N37" s="37"/>
    </row>
    <row r="38" spans="1:14" ht="36.75" customHeight="1" thickBot="1" x14ac:dyDescent="0.3">
      <c r="A38" s="277" t="s">
        <v>19</v>
      </c>
      <c r="B38" s="278"/>
      <c r="C38" s="315"/>
      <c r="D38" s="315"/>
      <c r="E38" s="315"/>
      <c r="F38" s="315"/>
      <c r="G38" s="315"/>
      <c r="H38" s="315"/>
      <c r="I38" s="315"/>
      <c r="J38" s="315"/>
      <c r="K38" s="315"/>
      <c r="L38" s="316"/>
      <c r="M38" s="37"/>
      <c r="N38" s="37"/>
    </row>
    <row r="39" spans="1:14" thickBot="1" x14ac:dyDescent="0.3">
      <c r="A39" s="159"/>
      <c r="B39" s="159"/>
      <c r="C39" s="159"/>
      <c r="D39" s="159"/>
      <c r="E39" s="159"/>
      <c r="F39" s="159"/>
      <c r="G39" s="159"/>
      <c r="H39" s="159"/>
      <c r="I39" s="159"/>
      <c r="J39" s="159"/>
      <c r="K39" s="159"/>
      <c r="L39" s="159"/>
      <c r="M39" s="159"/>
      <c r="N39" s="179"/>
    </row>
    <row r="40" spans="1:14" ht="19.5" customHeight="1" thickBot="1" x14ac:dyDescent="0.3">
      <c r="A40" s="260" t="s">
        <v>7</v>
      </c>
      <c r="B40" s="261"/>
      <c r="C40" s="261"/>
      <c r="D40" s="261"/>
      <c r="E40" s="261"/>
      <c r="F40" s="261"/>
      <c r="G40" s="261"/>
      <c r="H40" s="261"/>
      <c r="I40" s="261"/>
      <c r="J40" s="261"/>
      <c r="K40" s="261"/>
      <c r="L40" s="262"/>
      <c r="M40" s="37"/>
      <c r="N40" s="37"/>
    </row>
    <row r="41" spans="1:14" ht="21.75" customHeight="1" thickBot="1" x14ac:dyDescent="0.3">
      <c r="A41" s="263" t="s">
        <v>8</v>
      </c>
      <c r="B41" s="264"/>
      <c r="C41" s="24"/>
      <c r="D41" s="264" t="s">
        <v>9</v>
      </c>
      <c r="E41" s="264"/>
      <c r="F41" s="24"/>
      <c r="G41" s="264" t="s">
        <v>10</v>
      </c>
      <c r="H41" s="264"/>
      <c r="I41" s="24"/>
      <c r="J41" s="264" t="s">
        <v>11</v>
      </c>
      <c r="K41" s="264"/>
      <c r="L41" s="25"/>
      <c r="M41" s="37"/>
      <c r="N41" s="37"/>
    </row>
    <row r="42" spans="1:14" thickBot="1" x14ac:dyDescent="0.3">
      <c r="A42" s="37"/>
      <c r="B42" s="37"/>
      <c r="C42" s="37"/>
      <c r="D42" s="37"/>
      <c r="E42" s="37"/>
      <c r="F42" s="37"/>
      <c r="G42" s="37"/>
      <c r="H42" s="37"/>
      <c r="I42" s="37"/>
      <c r="J42" s="37"/>
      <c r="K42" s="37"/>
      <c r="L42" s="37"/>
      <c r="M42" s="159"/>
      <c r="N42" s="179"/>
    </row>
    <row r="43" spans="1:14" ht="19.5" customHeight="1" thickBot="1" x14ac:dyDescent="0.3">
      <c r="A43" s="260" t="s">
        <v>24</v>
      </c>
      <c r="B43" s="261"/>
      <c r="C43" s="261"/>
      <c r="D43" s="261"/>
      <c r="E43" s="261"/>
      <c r="F43" s="261"/>
      <c r="G43" s="261"/>
      <c r="H43" s="261"/>
      <c r="I43" s="261"/>
      <c r="J43" s="261"/>
      <c r="K43" s="261"/>
      <c r="L43" s="262"/>
      <c r="M43" s="37"/>
      <c r="N43" s="37"/>
    </row>
    <row r="44" spans="1:14" ht="15" x14ac:dyDescent="0.25">
      <c r="A44" s="250"/>
      <c r="B44" s="251"/>
      <c r="C44" s="251"/>
      <c r="D44" s="251"/>
      <c r="E44" s="251"/>
      <c r="F44" s="251"/>
      <c r="G44" s="251"/>
      <c r="H44" s="251"/>
      <c r="I44" s="251"/>
      <c r="J44" s="251"/>
      <c r="K44" s="251"/>
      <c r="L44" s="252"/>
      <c r="M44" s="37"/>
      <c r="N44" s="37"/>
    </row>
    <row r="45" spans="1:14" ht="15" x14ac:dyDescent="0.25">
      <c r="A45" s="253"/>
      <c r="B45" s="254"/>
      <c r="C45" s="254"/>
      <c r="D45" s="254"/>
      <c r="E45" s="254"/>
      <c r="F45" s="254"/>
      <c r="G45" s="254"/>
      <c r="H45" s="254"/>
      <c r="I45" s="254"/>
      <c r="J45" s="254"/>
      <c r="K45" s="254"/>
      <c r="L45" s="255"/>
      <c r="M45" s="37"/>
      <c r="N45" s="37"/>
    </row>
    <row r="46" spans="1:14" thickBot="1" x14ac:dyDescent="0.3">
      <c r="A46" s="256"/>
      <c r="B46" s="257"/>
      <c r="C46" s="257"/>
      <c r="D46" s="257"/>
      <c r="E46" s="257"/>
      <c r="F46" s="257"/>
      <c r="G46" s="257"/>
      <c r="H46" s="257"/>
      <c r="I46" s="257"/>
      <c r="J46" s="257"/>
      <c r="K46" s="257"/>
      <c r="L46" s="258"/>
      <c r="M46" s="37"/>
      <c r="N46" s="37"/>
    </row>
    <row r="47" spans="1:14" ht="15" x14ac:dyDescent="0.25">
      <c r="A47" s="37"/>
      <c r="B47" s="37"/>
      <c r="C47" s="37"/>
      <c r="D47" s="37"/>
      <c r="E47" s="37"/>
      <c r="F47" s="37"/>
      <c r="G47" s="37"/>
      <c r="H47" s="37"/>
      <c r="I47" s="37"/>
      <c r="J47" s="37"/>
      <c r="K47" s="37"/>
      <c r="L47" s="37"/>
      <c r="M47" s="159"/>
      <c r="N47" s="179"/>
    </row>
    <row r="48" spans="1:14" ht="27" customHeight="1" x14ac:dyDescent="0.25">
      <c r="A48" s="292" t="s">
        <v>2599</v>
      </c>
      <c r="B48" s="293"/>
      <c r="C48" s="293"/>
      <c r="D48" s="293"/>
      <c r="E48" s="293"/>
      <c r="F48" s="293"/>
      <c r="G48" s="293"/>
      <c r="H48" s="293"/>
      <c r="I48" s="293"/>
      <c r="J48" s="293"/>
      <c r="K48" s="293"/>
      <c r="L48" s="293"/>
      <c r="M48" s="159"/>
      <c r="N48" s="179"/>
    </row>
    <row r="49" spans="1:14" ht="27" customHeight="1" x14ac:dyDescent="0.25">
      <c r="A49" s="293"/>
      <c r="B49" s="293"/>
      <c r="C49" s="293"/>
      <c r="D49" s="293"/>
      <c r="E49" s="293"/>
      <c r="F49" s="293"/>
      <c r="G49" s="293"/>
      <c r="H49" s="293"/>
      <c r="I49" s="293"/>
      <c r="J49" s="293"/>
      <c r="K49" s="293"/>
      <c r="L49" s="293"/>
      <c r="M49" s="159"/>
      <c r="N49" s="179"/>
    </row>
    <row r="50" spans="1:14" ht="21.75" customHeight="1" x14ac:dyDescent="0.25">
      <c r="A50" s="292" t="s">
        <v>1770</v>
      </c>
      <c r="B50" s="293"/>
      <c r="C50" s="293"/>
      <c r="D50" s="293"/>
      <c r="E50" s="293"/>
      <c r="F50" s="293"/>
      <c r="G50" s="293"/>
      <c r="H50" s="293"/>
      <c r="I50" s="293"/>
      <c r="J50" s="293"/>
      <c r="K50" s="293"/>
      <c r="L50" s="293"/>
      <c r="M50" s="159"/>
      <c r="N50" s="179"/>
    </row>
    <row r="51" spans="1:14" ht="21.75" customHeight="1" x14ac:dyDescent="0.25">
      <c r="A51" s="293"/>
      <c r="B51" s="293"/>
      <c r="C51" s="293"/>
      <c r="D51" s="293"/>
      <c r="E51" s="293"/>
      <c r="F51" s="293"/>
      <c r="G51" s="293"/>
      <c r="H51" s="293"/>
      <c r="I51" s="293"/>
      <c r="J51" s="293"/>
      <c r="K51" s="293"/>
      <c r="L51" s="293"/>
      <c r="M51" s="159"/>
      <c r="N51" s="179"/>
    </row>
    <row r="52" spans="1:14" ht="16.5" thickBot="1" x14ac:dyDescent="0.3">
      <c r="A52" s="160"/>
      <c r="B52" s="160"/>
      <c r="C52" s="160"/>
      <c r="D52" s="160"/>
      <c r="E52" s="160"/>
      <c r="F52" s="160"/>
      <c r="G52" s="160"/>
      <c r="H52" s="160"/>
      <c r="I52" s="160"/>
      <c r="J52" s="160"/>
      <c r="K52" s="160"/>
      <c r="L52" s="160"/>
      <c r="M52" s="159"/>
      <c r="N52" s="179"/>
    </row>
    <row r="53" spans="1:14" ht="18.75" customHeight="1" thickBot="1" x14ac:dyDescent="0.3">
      <c r="A53" s="434" t="s">
        <v>1778</v>
      </c>
      <c r="B53" s="435"/>
      <c r="C53" s="435"/>
      <c r="D53" s="435"/>
      <c r="E53" s="435"/>
      <c r="F53" s="436"/>
      <c r="G53" s="260" t="s">
        <v>1779</v>
      </c>
      <c r="H53" s="437"/>
      <c r="I53" s="438"/>
      <c r="J53" s="438"/>
      <c r="K53" s="438"/>
      <c r="L53" s="439"/>
      <c r="M53" s="159"/>
      <c r="N53" s="179"/>
    </row>
    <row r="54" spans="1:14" ht="30" customHeight="1" thickBot="1" x14ac:dyDescent="0.3">
      <c r="A54" s="427" t="s">
        <v>12</v>
      </c>
      <c r="B54" s="428"/>
      <c r="C54" s="424"/>
      <c r="D54" s="425"/>
      <c r="E54" s="425"/>
      <c r="F54" s="426"/>
      <c r="G54" s="427" t="s">
        <v>2602</v>
      </c>
      <c r="H54" s="428"/>
      <c r="I54" s="440"/>
      <c r="J54" s="441"/>
      <c r="K54" s="441"/>
      <c r="L54" s="442"/>
      <c r="M54" s="159"/>
      <c r="N54" s="179"/>
    </row>
    <row r="55" spans="1:14" ht="30" customHeight="1" thickBot="1" x14ac:dyDescent="0.3">
      <c r="A55" s="443" t="s">
        <v>40</v>
      </c>
      <c r="B55" s="444"/>
      <c r="C55" s="445" t="str">
        <f>IF(C54="","",C54)</f>
        <v/>
      </c>
      <c r="D55" s="446"/>
      <c r="E55" s="446"/>
      <c r="F55" s="447"/>
      <c r="G55" s="443" t="s">
        <v>2603</v>
      </c>
      <c r="H55" s="448"/>
      <c r="I55" s="449"/>
      <c r="J55" s="286"/>
      <c r="K55" s="286"/>
      <c r="L55" s="450"/>
      <c r="M55" s="159"/>
      <c r="N55" s="179"/>
    </row>
    <row r="56" spans="1:14" ht="30" customHeight="1" thickBot="1" x14ac:dyDescent="0.3">
      <c r="A56" s="422" t="s">
        <v>49</v>
      </c>
      <c r="B56" s="423"/>
      <c r="C56" s="449"/>
      <c r="D56" s="286"/>
      <c r="E56" s="286"/>
      <c r="F56" s="455"/>
      <c r="G56" s="422" t="s">
        <v>2604</v>
      </c>
      <c r="H56" s="423"/>
      <c r="I56" s="456"/>
      <c r="J56" s="457"/>
      <c r="K56" s="457"/>
      <c r="L56" s="458"/>
      <c r="M56" s="159"/>
      <c r="N56" s="179"/>
    </row>
    <row r="57" spans="1:14" ht="16.5" thickBot="1" x14ac:dyDescent="0.3">
      <c r="A57" s="202"/>
      <c r="B57" s="202"/>
      <c r="C57" s="203"/>
      <c r="D57" s="203"/>
      <c r="E57" s="203"/>
      <c r="F57" s="203"/>
      <c r="G57" s="202"/>
      <c r="H57" s="202"/>
      <c r="I57" s="203"/>
      <c r="J57" s="203"/>
      <c r="K57" s="203"/>
      <c r="L57" s="203"/>
      <c r="M57" s="164"/>
      <c r="N57" s="179"/>
    </row>
    <row r="58" spans="1:14" ht="19.5" customHeight="1" thickBot="1" x14ac:dyDescent="0.3">
      <c r="A58" s="427" t="s">
        <v>1780</v>
      </c>
      <c r="B58" s="428"/>
      <c r="C58" s="428"/>
      <c r="D58" s="428"/>
      <c r="E58" s="428"/>
      <c r="F58" s="428"/>
      <c r="G58" s="428"/>
      <c r="H58" s="428"/>
      <c r="I58" s="428"/>
      <c r="J58" s="428"/>
      <c r="K58" s="428"/>
      <c r="L58" s="461"/>
      <c r="M58" s="164"/>
      <c r="N58" s="179"/>
    </row>
    <row r="59" spans="1:14" ht="30" customHeight="1" thickBot="1" x14ac:dyDescent="0.3">
      <c r="A59" s="451" t="s">
        <v>1773</v>
      </c>
      <c r="B59" s="452"/>
      <c r="C59" s="429"/>
      <c r="D59" s="425"/>
      <c r="E59" s="425"/>
      <c r="F59" s="426"/>
      <c r="G59" s="451" t="s">
        <v>40</v>
      </c>
      <c r="H59" s="452"/>
      <c r="I59" s="459" t="str">
        <f>IF(C59="","",C59)</f>
        <v/>
      </c>
      <c r="J59" s="459"/>
      <c r="K59" s="459"/>
      <c r="L59" s="460"/>
      <c r="M59" s="159"/>
      <c r="N59" s="179"/>
    </row>
    <row r="60" spans="1:14" ht="30" customHeight="1" thickBot="1" x14ac:dyDescent="0.3">
      <c r="A60" s="422" t="s">
        <v>49</v>
      </c>
      <c r="B60" s="423"/>
      <c r="C60" s="429"/>
      <c r="D60" s="425"/>
      <c r="E60" s="425"/>
      <c r="F60" s="426"/>
      <c r="G60" s="430" t="s">
        <v>1777</v>
      </c>
      <c r="H60" s="431"/>
      <c r="I60" s="453"/>
      <c r="J60" s="437"/>
      <c r="K60" s="437"/>
      <c r="L60" s="454"/>
      <c r="M60" s="159"/>
      <c r="N60" s="179"/>
    </row>
    <row r="61" spans="1:14" ht="15.75" customHeight="1" x14ac:dyDescent="0.25">
      <c r="A61" s="158"/>
      <c r="B61" s="158"/>
      <c r="C61" s="159"/>
      <c r="D61" s="159"/>
      <c r="E61" s="159"/>
      <c r="F61" s="159"/>
      <c r="G61" s="158"/>
      <c r="H61" s="158"/>
      <c r="I61" s="163"/>
      <c r="J61" s="163"/>
      <c r="K61" s="163"/>
      <c r="L61" s="163"/>
      <c r="M61" s="159"/>
      <c r="N61" s="179"/>
    </row>
    <row r="62" spans="1:14" ht="16.5" thickBot="1" x14ac:dyDescent="0.3">
      <c r="A62" s="158"/>
      <c r="B62" s="158"/>
      <c r="C62" s="159"/>
      <c r="D62" s="159"/>
      <c r="E62" s="159"/>
      <c r="F62" s="37"/>
      <c r="G62" s="158"/>
      <c r="H62" s="158"/>
      <c r="I62" s="159"/>
      <c r="J62" s="159"/>
      <c r="K62" s="159"/>
      <c r="L62" s="37"/>
      <c r="M62" s="159"/>
      <c r="N62" s="179"/>
    </row>
    <row r="63" spans="1:14" ht="15" x14ac:dyDescent="0.25">
      <c r="A63" s="301"/>
      <c r="B63" s="302"/>
      <c r="C63" s="302"/>
      <c r="D63" s="302"/>
      <c r="E63" s="302"/>
      <c r="F63" s="302"/>
      <c r="G63" s="302"/>
      <c r="H63" s="302"/>
      <c r="I63" s="302"/>
      <c r="J63" s="302"/>
      <c r="K63" s="302"/>
      <c r="L63" s="302"/>
      <c r="M63" s="303"/>
      <c r="N63" s="179"/>
    </row>
    <row r="64" spans="1:14" ht="15" x14ac:dyDescent="0.25">
      <c r="A64" s="304"/>
      <c r="B64" s="305"/>
      <c r="C64" s="305"/>
      <c r="D64" s="305"/>
      <c r="E64" s="305"/>
      <c r="F64" s="305"/>
      <c r="G64" s="305"/>
      <c r="H64" s="305"/>
      <c r="I64" s="305"/>
      <c r="J64" s="305"/>
      <c r="K64" s="305"/>
      <c r="L64" s="305"/>
      <c r="M64" s="306"/>
      <c r="N64" s="179"/>
    </row>
    <row r="65" spans="1:31" ht="15" x14ac:dyDescent="0.25">
      <c r="A65" s="304"/>
      <c r="B65" s="305"/>
      <c r="C65" s="305"/>
      <c r="D65" s="305"/>
      <c r="E65" s="305"/>
      <c r="F65" s="305"/>
      <c r="G65" s="305"/>
      <c r="H65" s="305"/>
      <c r="I65" s="305"/>
      <c r="J65" s="305"/>
      <c r="K65" s="305"/>
      <c r="L65" s="305"/>
      <c r="M65" s="306"/>
      <c r="N65" s="179"/>
    </row>
    <row r="66" spans="1:31" thickBot="1" x14ac:dyDescent="0.3">
      <c r="A66" s="307"/>
      <c r="B66" s="308"/>
      <c r="C66" s="308"/>
      <c r="D66" s="308"/>
      <c r="E66" s="308"/>
      <c r="F66" s="308"/>
      <c r="G66" s="308"/>
      <c r="H66" s="308"/>
      <c r="I66" s="308"/>
      <c r="J66" s="308"/>
      <c r="K66" s="308"/>
      <c r="L66" s="308"/>
      <c r="M66" s="309"/>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79"/>
      <c r="M68" s="159"/>
      <c r="N68" s="37"/>
    </row>
    <row r="69" spans="1:31" ht="15.75" customHeight="1" x14ac:dyDescent="0.25">
      <c r="A69" s="289"/>
      <c r="B69" s="289"/>
      <c r="C69" s="289"/>
      <c r="D69" s="289"/>
      <c r="E69" s="290" t="s">
        <v>48</v>
      </c>
      <c r="F69" s="290"/>
      <c r="G69" s="290"/>
      <c r="H69" s="290"/>
      <c r="I69" s="290"/>
      <c r="J69" s="290"/>
      <c r="K69" s="290"/>
      <c r="L69" s="290"/>
      <c r="M69" s="290"/>
      <c r="N69" s="37"/>
    </row>
    <row r="70" spans="1:31" ht="15.75" customHeight="1" x14ac:dyDescent="0.25">
      <c r="A70" s="289"/>
      <c r="B70" s="289"/>
      <c r="C70" s="289"/>
      <c r="D70" s="289"/>
      <c r="E70" s="290"/>
      <c r="F70" s="290"/>
      <c r="G70" s="290"/>
      <c r="H70" s="290"/>
      <c r="I70" s="290"/>
      <c r="J70" s="290"/>
      <c r="K70" s="290"/>
      <c r="L70" s="290"/>
      <c r="M70" s="290"/>
      <c r="N70" s="37"/>
    </row>
    <row r="71" spans="1:31" ht="15.75" customHeight="1" x14ac:dyDescent="0.25">
      <c r="A71" s="289"/>
      <c r="B71" s="289"/>
      <c r="C71" s="289"/>
      <c r="D71" s="289"/>
      <c r="E71" s="290"/>
      <c r="F71" s="290"/>
      <c r="G71" s="290"/>
      <c r="H71" s="290"/>
      <c r="I71" s="290"/>
      <c r="J71" s="290"/>
      <c r="K71" s="290"/>
      <c r="L71" s="290"/>
      <c r="M71" s="290"/>
      <c r="N71" s="37"/>
    </row>
    <row r="72" spans="1:31" ht="15.75" customHeight="1" x14ac:dyDescent="0.25">
      <c r="A72" s="289"/>
      <c r="B72" s="289"/>
      <c r="C72" s="289"/>
      <c r="D72" s="289"/>
      <c r="E72" s="299" t="s">
        <v>51</v>
      </c>
      <c r="F72" s="299"/>
      <c r="G72" s="299"/>
      <c r="H72" s="299"/>
      <c r="I72" s="299"/>
      <c r="J72" s="299"/>
      <c r="K72" s="299"/>
      <c r="L72" s="299"/>
      <c r="M72" s="299"/>
      <c r="N72" s="37"/>
    </row>
    <row r="73" spans="1:31" ht="15.75" customHeight="1" x14ac:dyDescent="0.25">
      <c r="A73" s="289"/>
      <c r="B73" s="289"/>
      <c r="C73" s="289"/>
      <c r="D73" s="289"/>
      <c r="E73" s="299"/>
      <c r="F73" s="299"/>
      <c r="G73" s="299"/>
      <c r="H73" s="299"/>
      <c r="I73" s="299"/>
      <c r="J73" s="299"/>
      <c r="K73" s="299"/>
      <c r="L73" s="299"/>
      <c r="M73" s="299"/>
      <c r="N73" s="37"/>
    </row>
    <row r="74" spans="1:31" ht="15.75" customHeight="1" x14ac:dyDescent="0.25">
      <c r="A74" s="289"/>
      <c r="B74" s="289"/>
      <c r="C74" s="289"/>
      <c r="D74" s="289"/>
      <c r="E74" s="299"/>
      <c r="F74" s="299"/>
      <c r="G74" s="299"/>
      <c r="H74" s="299"/>
      <c r="I74" s="299"/>
      <c r="J74" s="299"/>
      <c r="K74" s="299"/>
      <c r="L74" s="299"/>
      <c r="M74" s="299"/>
      <c r="N74" s="37"/>
    </row>
    <row r="75" spans="1:31" ht="15.75" customHeight="1" x14ac:dyDescent="0.25">
      <c r="A75" s="32"/>
      <c r="B75" s="32"/>
      <c r="C75" s="32"/>
      <c r="D75" s="32"/>
      <c r="E75" s="161"/>
      <c r="F75" s="161"/>
      <c r="G75" s="161"/>
      <c r="H75" s="161"/>
      <c r="I75" s="161"/>
      <c r="J75" s="161"/>
      <c r="K75" s="161"/>
      <c r="L75" s="181"/>
      <c r="M75" s="161"/>
      <c r="N75" s="37"/>
    </row>
    <row r="76" spans="1:31" ht="33" customHeight="1" thickBot="1" x14ac:dyDescent="0.3">
      <c r="A76" s="160"/>
      <c r="B76" s="160"/>
      <c r="C76" s="160"/>
      <c r="D76" s="160"/>
      <c r="E76" s="160"/>
      <c r="F76" s="160"/>
      <c r="G76" s="160"/>
      <c r="H76" s="160"/>
      <c r="I76" s="160"/>
      <c r="J76" s="160"/>
      <c r="K76" s="160"/>
      <c r="L76" s="180"/>
      <c r="M76" s="160"/>
    </row>
    <row r="77" spans="1:31" ht="18.75" customHeight="1" thickBot="1" x14ac:dyDescent="0.3">
      <c r="A77" s="260" t="s">
        <v>2680</v>
      </c>
      <c r="B77" s="261"/>
      <c r="C77" s="261"/>
      <c r="D77" s="261"/>
      <c r="E77" s="261"/>
      <c r="F77" s="261"/>
      <c r="G77" s="261"/>
      <c r="H77" s="261"/>
      <c r="I77" s="261"/>
      <c r="J77" s="261"/>
      <c r="K77" s="261"/>
      <c r="L77" s="261"/>
      <c r="M77" s="262"/>
      <c r="S77" s="260" t="s">
        <v>2619</v>
      </c>
      <c r="T77" s="261"/>
      <c r="U77" s="261"/>
      <c r="V77" s="261"/>
      <c r="W77" s="261"/>
      <c r="X77" s="261"/>
      <c r="Y77" s="261"/>
      <c r="Z77" s="261"/>
      <c r="AA77" s="261"/>
      <c r="AB77" s="261"/>
      <c r="AC77" s="261"/>
      <c r="AD77" s="261"/>
      <c r="AE77" s="262"/>
    </row>
    <row r="78" spans="1:31" ht="50.25" thickBot="1" x14ac:dyDescent="0.3">
      <c r="A78" s="312" t="s">
        <v>0</v>
      </c>
      <c r="B78" s="313"/>
      <c r="C78" s="314" t="s">
        <v>2</v>
      </c>
      <c r="D78" s="313"/>
      <c r="E78" s="200" t="s">
        <v>1771</v>
      </c>
      <c r="F78" s="200" t="s">
        <v>1772</v>
      </c>
      <c r="G78" s="200" t="s">
        <v>1</v>
      </c>
      <c r="H78" s="314" t="s">
        <v>3</v>
      </c>
      <c r="I78" s="313"/>
      <c r="J78" s="314" t="s">
        <v>5</v>
      </c>
      <c r="K78" s="313"/>
      <c r="L78" s="183" t="s">
        <v>2623</v>
      </c>
      <c r="M78" s="27" t="s">
        <v>2621</v>
      </c>
      <c r="P78" s="99" t="s">
        <v>58</v>
      </c>
      <c r="Q78" s="99" t="s">
        <v>59</v>
      </c>
      <c r="S78" s="241" t="s">
        <v>2607</v>
      </c>
      <c r="T78" s="24" t="s">
        <v>2608</v>
      </c>
      <c r="U78" s="24" t="s">
        <v>2609</v>
      </c>
      <c r="V78" s="24" t="s">
        <v>2610</v>
      </c>
      <c r="W78" s="24" t="s">
        <v>2611</v>
      </c>
      <c r="X78" s="24" t="s">
        <v>2620</v>
      </c>
      <c r="Y78" s="24" t="s">
        <v>2613</v>
      </c>
      <c r="Z78" s="24" t="s">
        <v>2612</v>
      </c>
      <c r="AA78" s="24" t="s">
        <v>2614</v>
      </c>
      <c r="AB78" s="24" t="s">
        <v>2615</v>
      </c>
      <c r="AC78" s="24" t="s">
        <v>2616</v>
      </c>
      <c r="AD78" s="24" t="s">
        <v>2617</v>
      </c>
      <c r="AE78" s="25" t="s">
        <v>2618</v>
      </c>
    </row>
    <row r="79" spans="1:31" ht="15.75" customHeight="1" x14ac:dyDescent="0.25">
      <c r="A79" s="432"/>
      <c r="B79" s="433"/>
      <c r="C79" s="408"/>
      <c r="D79" s="409"/>
      <c r="E79" s="208" t="str">
        <f>IF(A79="","",2*$K$37*(1/SQRT(3))+(0.0016%*ABS(A79)+0.000001450377377))</f>
        <v/>
      </c>
      <c r="F79" s="198" t="str">
        <f>IF(A79="","",ROUND(((A79+S79)-(A79-S79))/(2*E79),1)&amp;":1")</f>
        <v/>
      </c>
      <c r="G79" s="198" t="str">
        <f>IF($K$36="","",$K$36)</f>
        <v/>
      </c>
      <c r="H79" s="408" t="str">
        <f t="shared" ref="H79" si="0">IF(A79="","",A79-C79)</f>
        <v/>
      </c>
      <c r="I79" s="409"/>
      <c r="J79" s="408">
        <f>IF(X79&lt;4,Y79,S79)</f>
        <v>0</v>
      </c>
      <c r="K79" s="409"/>
      <c r="L79" s="209" t="str">
        <f>IF(AD79="","",IF(AD79&lt;2%,"&lt; 2%", "&gt; 2%"))</f>
        <v/>
      </c>
      <c r="M79" s="205" t="str">
        <f>IF(H79="","",IF(ABS(H79+E79)&lt;ABS(J79),"Pass",IF(ABS(H79-E79)&gt;ABS(J79),"Fail",IF(AND(ABS(H79+E79)&gt;ABS(J79),ABS(H79-E79)&lt;ABS(J79)),"-",""))))</f>
        <v/>
      </c>
      <c r="P79" s="210">
        <f>IF(X79&lt;4,-Y79,-S79)</f>
        <v>0</v>
      </c>
      <c r="Q79" s="210">
        <f>IF(X79&lt;4,Y79,S79)</f>
        <v>0</v>
      </c>
      <c r="S79" s="242"/>
      <c r="T79" s="214"/>
      <c r="U79" s="215" t="str">
        <f t="shared" ref="U79:U82" si="1">IF(S79="","",E79)</f>
        <v/>
      </c>
      <c r="V79" s="215" t="str">
        <f t="shared" ref="V79:V82" si="2">IF(S79="","",_xlfn.NORM.S.INV((1+T79)/2))</f>
        <v/>
      </c>
      <c r="W79" s="215" t="str">
        <f t="shared" ref="W79:W82" si="3">IF(S79="","",SQRT((S79/V79)^2-U79^2))</f>
        <v/>
      </c>
      <c r="X79" s="201" t="str">
        <f t="shared" ref="X79:X82" si="4">IF(S79="","",ROUND(((A79+S79)-(A79-S79))/(2*E79),1))</f>
        <v/>
      </c>
      <c r="Y79" s="240">
        <f t="shared" ref="Y79:Y82" si="5">IF(X79&gt;=4,S79,S79-U79*(1.04-EXP(0.38*LN(X79)-0.54)))</f>
        <v>0</v>
      </c>
      <c r="Z79" s="215" t="str">
        <f t="shared" ref="Z79:Z82" si="6">IF(S79="","",SQRT(W79^2+U79^2))</f>
        <v/>
      </c>
      <c r="AA79" s="215" t="str">
        <f t="shared" ref="AA79:AA82" si="7">IF(S79="","",S79/W79)</f>
        <v/>
      </c>
      <c r="AB79" s="201" t="str">
        <f t="shared" ref="AB79:AB82" si="8">IF(S79="","",Y79/Z79)</f>
        <v/>
      </c>
      <c r="AC79" s="201" t="str">
        <f t="shared" ref="AC79:AC82" si="9">IF(S79="","",W79/Z79)</f>
        <v/>
      </c>
      <c r="AD79" s="214" t="str">
        <f>IF(S79="","",2*(BIVAR((-AA79),AB79,AC79)-BIVAR(-AA79,-AB79,AC79)))</f>
        <v/>
      </c>
      <c r="AE79" s="216" t="str">
        <f>IF(S79="","",2*(BIVAR(AA79,-AB79,AC79)-BIVAR(-AA79,-AB79,AC79)))</f>
        <v/>
      </c>
    </row>
    <row r="80" spans="1:31" ht="15.75" customHeight="1" x14ac:dyDescent="0.25">
      <c r="A80" s="432"/>
      <c r="B80" s="433"/>
      <c r="C80" s="408"/>
      <c r="D80" s="409"/>
      <c r="E80" s="208" t="str">
        <f t="shared" ref="E80:E99" si="10">IF(A80="","",2*$K$37*(1/SQRT(3))+(0.0016%*ABS(A80)+0.000001450377377))</f>
        <v/>
      </c>
      <c r="F80" s="198" t="str">
        <f t="shared" ref="F80:F99" si="11">IF(A80="","",ROUND(((A80+S80)-(A80-S80))/(2*E80),1)&amp;":1")</f>
        <v/>
      </c>
      <c r="G80" s="198" t="str">
        <f t="shared" ref="G80:G99" si="12">IF($K$36="","",$K$36)</f>
        <v/>
      </c>
      <c r="H80" s="408" t="str">
        <f t="shared" ref="H80:H99" si="13">IF(A80="","",A80-C80)</f>
        <v/>
      </c>
      <c r="I80" s="409"/>
      <c r="J80" s="408">
        <f t="shared" ref="J80:J99" si="14">IF(X80&lt;4,Y80,S80)</f>
        <v>0</v>
      </c>
      <c r="K80" s="409"/>
      <c r="L80" s="209" t="str">
        <f t="shared" ref="L80:L99" si="15">IF(AD80="","",IF(AD80&lt;2%,"&lt; 2%", "&gt; 2%"))</f>
        <v/>
      </c>
      <c r="M80" s="205" t="str">
        <f t="shared" ref="M80:M99" si="16">IF(H80="","",IF(ABS(H80+E80)&lt;ABS(J80),"Pass",IF(ABS(H80-E80)&gt;ABS(J80),"Fail",IF(AND(ABS(H80+E80)&gt;ABS(J80),ABS(H80-E80)&lt;ABS(J80)),"-",""))))</f>
        <v/>
      </c>
      <c r="P80" s="210">
        <f t="shared" ref="P80:P99" si="17">IF(X80&lt;4,-Y80,-S80)</f>
        <v>0</v>
      </c>
      <c r="Q80" s="210">
        <f t="shared" ref="Q80:Q99" si="18">IF(X80&lt;4,Y80,S80)</f>
        <v>0</v>
      </c>
      <c r="S80" s="234"/>
      <c r="T80" s="184"/>
      <c r="U80" s="208" t="str">
        <f t="shared" si="1"/>
        <v/>
      </c>
      <c r="V80" s="208" t="str">
        <f t="shared" si="2"/>
        <v/>
      </c>
      <c r="W80" s="208" t="str">
        <f t="shared" si="3"/>
        <v/>
      </c>
      <c r="X80" s="198" t="str">
        <f t="shared" si="4"/>
        <v/>
      </c>
      <c r="Y80" s="206">
        <f t="shared" si="5"/>
        <v>0</v>
      </c>
      <c r="Z80" s="208" t="str">
        <f t="shared" si="6"/>
        <v/>
      </c>
      <c r="AA80" s="208" t="str">
        <f t="shared" si="7"/>
        <v/>
      </c>
      <c r="AB80" s="198" t="str">
        <f t="shared" si="8"/>
        <v/>
      </c>
      <c r="AC80" s="198" t="str">
        <f t="shared" si="9"/>
        <v/>
      </c>
      <c r="AD80" s="184" t="str">
        <f>IF(S80="","",2*(BIVAR((-AA80),AB80,AC80)-BIVAR(-AA80,-AB80,AC80)))</f>
        <v/>
      </c>
      <c r="AE80" s="185" t="str">
        <f>IF(S80="","",2*(BIVAR(AA80,-AB80,AC80)-BIVAR(-AA80,-AB80,AC80)))</f>
        <v/>
      </c>
    </row>
    <row r="81" spans="1:31" ht="15.75" customHeight="1" x14ac:dyDescent="0.25">
      <c r="A81" s="432"/>
      <c r="B81" s="433"/>
      <c r="C81" s="408"/>
      <c r="D81" s="409"/>
      <c r="E81" s="208" t="str">
        <f t="shared" si="10"/>
        <v/>
      </c>
      <c r="F81" s="198" t="str">
        <f t="shared" si="11"/>
        <v/>
      </c>
      <c r="G81" s="198" t="str">
        <f t="shared" si="12"/>
        <v/>
      </c>
      <c r="H81" s="408" t="str">
        <f t="shared" si="13"/>
        <v/>
      </c>
      <c r="I81" s="409"/>
      <c r="J81" s="408">
        <f t="shared" si="14"/>
        <v>0</v>
      </c>
      <c r="K81" s="409"/>
      <c r="L81" s="209" t="str">
        <f t="shared" si="15"/>
        <v/>
      </c>
      <c r="M81" s="205" t="str">
        <f t="shared" si="16"/>
        <v/>
      </c>
      <c r="P81" s="210">
        <f t="shared" si="17"/>
        <v>0</v>
      </c>
      <c r="Q81" s="210">
        <f t="shared" si="18"/>
        <v>0</v>
      </c>
      <c r="S81" s="234"/>
      <c r="T81" s="184"/>
      <c r="U81" s="208" t="str">
        <f t="shared" si="1"/>
        <v/>
      </c>
      <c r="V81" s="208" t="str">
        <f t="shared" si="2"/>
        <v/>
      </c>
      <c r="W81" s="208" t="str">
        <f t="shared" si="3"/>
        <v/>
      </c>
      <c r="X81" s="198" t="str">
        <f t="shared" si="4"/>
        <v/>
      </c>
      <c r="Y81" s="206">
        <f t="shared" si="5"/>
        <v>0</v>
      </c>
      <c r="Z81" s="208" t="str">
        <f t="shared" si="6"/>
        <v/>
      </c>
      <c r="AA81" s="208" t="str">
        <f t="shared" si="7"/>
        <v/>
      </c>
      <c r="AB81" s="198" t="str">
        <f t="shared" si="8"/>
        <v/>
      </c>
      <c r="AC81" s="198" t="str">
        <f t="shared" si="9"/>
        <v/>
      </c>
      <c r="AD81" s="184" t="str">
        <f>IF(S81="","",2*(BIVAR((-AA81),AB81,AC81)-BIVAR(-AA81,-AB81,AC81)))</f>
        <v/>
      </c>
      <c r="AE81" s="185" t="str">
        <f>IF(S81="","",2*(BIVAR(AA81,-AB81,AC81)-BIVAR(-AA81,-AB81,AC81)))</f>
        <v/>
      </c>
    </row>
    <row r="82" spans="1:31" ht="15.75" customHeight="1" x14ac:dyDescent="0.25">
      <c r="A82" s="432"/>
      <c r="B82" s="433"/>
      <c r="C82" s="408"/>
      <c r="D82" s="409"/>
      <c r="E82" s="208" t="str">
        <f t="shared" si="10"/>
        <v/>
      </c>
      <c r="F82" s="198" t="str">
        <f t="shared" si="11"/>
        <v/>
      </c>
      <c r="G82" s="198" t="str">
        <f t="shared" si="12"/>
        <v/>
      </c>
      <c r="H82" s="408" t="str">
        <f t="shared" si="13"/>
        <v/>
      </c>
      <c r="I82" s="409"/>
      <c r="J82" s="408">
        <f t="shared" si="14"/>
        <v>0</v>
      </c>
      <c r="K82" s="409"/>
      <c r="L82" s="209" t="str">
        <f t="shared" si="15"/>
        <v/>
      </c>
      <c r="M82" s="205" t="str">
        <f t="shared" si="16"/>
        <v/>
      </c>
      <c r="P82" s="210">
        <f t="shared" si="17"/>
        <v>0</v>
      </c>
      <c r="Q82" s="210">
        <f t="shared" si="18"/>
        <v>0</v>
      </c>
      <c r="S82" s="234"/>
      <c r="T82" s="184"/>
      <c r="U82" s="208" t="str">
        <f t="shared" si="1"/>
        <v/>
      </c>
      <c r="V82" s="208" t="str">
        <f t="shared" si="2"/>
        <v/>
      </c>
      <c r="W82" s="208" t="str">
        <f t="shared" si="3"/>
        <v/>
      </c>
      <c r="X82" s="198" t="str">
        <f t="shared" si="4"/>
        <v/>
      </c>
      <c r="Y82" s="206">
        <f t="shared" si="5"/>
        <v>0</v>
      </c>
      <c r="Z82" s="208" t="str">
        <f t="shared" si="6"/>
        <v/>
      </c>
      <c r="AA82" s="208" t="str">
        <f t="shared" si="7"/>
        <v/>
      </c>
      <c r="AB82" s="198" t="str">
        <f t="shared" si="8"/>
        <v/>
      </c>
      <c r="AC82" s="198" t="str">
        <f t="shared" si="9"/>
        <v/>
      </c>
      <c r="AD82" s="184" t="str">
        <f>IF(S82="","",2*(BIVAR((-AA82),AB82,AC82)-BIVAR(-AA82,-AB82,AC82)))</f>
        <v/>
      </c>
      <c r="AE82" s="185" t="str">
        <f>IF(S82="","",2*(BIVAR(AA82,-AB82,AC82)-BIVAR(-AA82,-AB82,AC82)))</f>
        <v/>
      </c>
    </row>
    <row r="83" spans="1:31" ht="15.75" customHeight="1" x14ac:dyDescent="0.25">
      <c r="A83" s="432"/>
      <c r="B83" s="433"/>
      <c r="C83" s="408"/>
      <c r="D83" s="409"/>
      <c r="E83" s="208" t="str">
        <f t="shared" si="10"/>
        <v/>
      </c>
      <c r="F83" s="198" t="str">
        <f t="shared" si="11"/>
        <v/>
      </c>
      <c r="G83" s="198" t="str">
        <f t="shared" si="12"/>
        <v/>
      </c>
      <c r="H83" s="408" t="str">
        <f t="shared" si="13"/>
        <v/>
      </c>
      <c r="I83" s="409"/>
      <c r="J83" s="408">
        <f t="shared" si="14"/>
        <v>0</v>
      </c>
      <c r="K83" s="409"/>
      <c r="L83" s="209" t="str">
        <f t="shared" si="15"/>
        <v/>
      </c>
      <c r="M83" s="205" t="str">
        <f t="shared" si="16"/>
        <v/>
      </c>
      <c r="P83" s="210">
        <f t="shared" si="17"/>
        <v>0</v>
      </c>
      <c r="Q83" s="210">
        <f t="shared" si="18"/>
        <v>0</v>
      </c>
      <c r="S83" s="234"/>
      <c r="T83" s="184"/>
      <c r="U83" s="208" t="str">
        <f t="shared" ref="U83:U85" si="19">IF(S83="","",E83)</f>
        <v/>
      </c>
      <c r="V83" s="208" t="str">
        <f t="shared" ref="V83:V85" si="20">IF(S83="","",_xlfn.NORM.S.INV((1+T83)/2))</f>
        <v/>
      </c>
      <c r="W83" s="208" t="str">
        <f t="shared" ref="W83:W85" si="21">IF(S83="","",SQRT((S83/V83)^2-U83^2))</f>
        <v/>
      </c>
      <c r="X83" s="198" t="str">
        <f t="shared" ref="X83:X85" si="22">IF(S83="","",ROUND(((A83+S83)-(A83-S83))/(2*E83),1))</f>
        <v/>
      </c>
      <c r="Y83" s="206">
        <f t="shared" ref="Y83:Y85" si="23">IF(X83&gt;=4,S83,S83-U83*(1.04-EXP(0.38*LN(X83)-0.54)))</f>
        <v>0</v>
      </c>
      <c r="Z83" s="208" t="str">
        <f t="shared" ref="Z83:Z85" si="24">IF(S83="","",SQRT(W83^2+U83^2))</f>
        <v/>
      </c>
      <c r="AA83" s="208" t="str">
        <f t="shared" ref="AA83:AA85" si="25">IF(S83="","",S83/W83)</f>
        <v/>
      </c>
      <c r="AB83" s="198" t="str">
        <f t="shared" ref="AB83:AB85" si="26">IF(S83="","",Y83/Z83)</f>
        <v/>
      </c>
      <c r="AC83" s="198" t="str">
        <f t="shared" ref="AC83:AC85" si="27">IF(S83="","",W83/Z83)</f>
        <v/>
      </c>
      <c r="AD83" s="184" t="str">
        <f>IF(S83="","",2*(BIVAR((-AA83),AB83,AC83)-BIVAR(-AA83,-AB83,AC83)))</f>
        <v/>
      </c>
      <c r="AE83" s="185" t="str">
        <f>IF(S83="","",2*(BIVAR(AA83,-AB83,AC83)-BIVAR(-AA83,-AB83,AC83)))</f>
        <v/>
      </c>
    </row>
    <row r="84" spans="1:31" ht="15.75" customHeight="1" x14ac:dyDescent="0.25">
      <c r="A84" s="432"/>
      <c r="B84" s="433"/>
      <c r="C84" s="408"/>
      <c r="D84" s="409"/>
      <c r="E84" s="208" t="str">
        <f t="shared" si="10"/>
        <v/>
      </c>
      <c r="F84" s="198" t="str">
        <f t="shared" si="11"/>
        <v/>
      </c>
      <c r="G84" s="198" t="str">
        <f t="shared" si="12"/>
        <v/>
      </c>
      <c r="H84" s="408" t="str">
        <f t="shared" si="13"/>
        <v/>
      </c>
      <c r="I84" s="409"/>
      <c r="J84" s="408">
        <f t="shared" si="14"/>
        <v>0</v>
      </c>
      <c r="K84" s="409"/>
      <c r="L84" s="209" t="str">
        <f t="shared" si="15"/>
        <v/>
      </c>
      <c r="M84" s="205" t="str">
        <f t="shared" si="16"/>
        <v/>
      </c>
      <c r="P84" s="210">
        <f t="shared" si="17"/>
        <v>0</v>
      </c>
      <c r="Q84" s="210">
        <f t="shared" si="18"/>
        <v>0</v>
      </c>
      <c r="S84" s="234"/>
      <c r="T84" s="184"/>
      <c r="U84" s="208" t="str">
        <f t="shared" si="19"/>
        <v/>
      </c>
      <c r="V84" s="208" t="str">
        <f t="shared" si="20"/>
        <v/>
      </c>
      <c r="W84" s="208" t="str">
        <f t="shared" si="21"/>
        <v/>
      </c>
      <c r="X84" s="198" t="str">
        <f t="shared" si="22"/>
        <v/>
      </c>
      <c r="Y84" s="206">
        <f t="shared" si="23"/>
        <v>0</v>
      </c>
      <c r="Z84" s="208" t="str">
        <f t="shared" si="24"/>
        <v/>
      </c>
      <c r="AA84" s="208" t="str">
        <f t="shared" si="25"/>
        <v/>
      </c>
      <c r="AB84" s="198" t="str">
        <f t="shared" si="26"/>
        <v/>
      </c>
      <c r="AC84" s="198" t="str">
        <f t="shared" si="27"/>
        <v/>
      </c>
      <c r="AD84" s="184" t="str">
        <f>IF(S84="","",2*(BIVAR((-AA84),AB84,AC84)-BIVAR(-AA84,-AB84,AC84)))</f>
        <v/>
      </c>
      <c r="AE84" s="185" t="str">
        <f>IF(S84="","",2*(BIVAR(AA84,-AB84,AC84)-BIVAR(-AA84,-AB84,AC84)))</f>
        <v/>
      </c>
    </row>
    <row r="85" spans="1:31" ht="15.75" customHeight="1" x14ac:dyDescent="0.25">
      <c r="A85" s="432"/>
      <c r="B85" s="433"/>
      <c r="C85" s="408"/>
      <c r="D85" s="409"/>
      <c r="E85" s="208" t="str">
        <f t="shared" si="10"/>
        <v/>
      </c>
      <c r="F85" s="198" t="str">
        <f t="shared" si="11"/>
        <v/>
      </c>
      <c r="G85" s="198" t="str">
        <f t="shared" si="12"/>
        <v/>
      </c>
      <c r="H85" s="408" t="str">
        <f t="shared" si="13"/>
        <v/>
      </c>
      <c r="I85" s="409"/>
      <c r="J85" s="408">
        <f t="shared" si="14"/>
        <v>0</v>
      </c>
      <c r="K85" s="409"/>
      <c r="L85" s="209" t="str">
        <f t="shared" si="15"/>
        <v/>
      </c>
      <c r="M85" s="205" t="str">
        <f t="shared" si="16"/>
        <v/>
      </c>
      <c r="P85" s="210">
        <f t="shared" si="17"/>
        <v>0</v>
      </c>
      <c r="Q85" s="210">
        <f t="shared" si="18"/>
        <v>0</v>
      </c>
      <c r="S85" s="234"/>
      <c r="T85" s="184"/>
      <c r="U85" s="208" t="str">
        <f t="shared" si="19"/>
        <v/>
      </c>
      <c r="V85" s="208" t="str">
        <f t="shared" si="20"/>
        <v/>
      </c>
      <c r="W85" s="208" t="str">
        <f t="shared" si="21"/>
        <v/>
      </c>
      <c r="X85" s="198" t="str">
        <f t="shared" si="22"/>
        <v/>
      </c>
      <c r="Y85" s="206">
        <f t="shared" si="23"/>
        <v>0</v>
      </c>
      <c r="Z85" s="208" t="str">
        <f t="shared" si="24"/>
        <v/>
      </c>
      <c r="AA85" s="208" t="str">
        <f t="shared" si="25"/>
        <v/>
      </c>
      <c r="AB85" s="198" t="str">
        <f t="shared" si="26"/>
        <v/>
      </c>
      <c r="AC85" s="198" t="str">
        <f t="shared" si="27"/>
        <v/>
      </c>
      <c r="AD85" s="184" t="str">
        <f>IF(S85="","",2*(BIVAR((-AA85),AB85,AC85)-BIVAR(-AA85,-AB85,AC85)))</f>
        <v/>
      </c>
      <c r="AE85" s="185" t="str">
        <f>IF(S85="","",2*(BIVAR(AA85,-AB85,AC85)-BIVAR(-AA85,-AB85,AC85)))</f>
        <v/>
      </c>
    </row>
    <row r="86" spans="1:31" ht="15.75" customHeight="1" x14ac:dyDescent="0.25">
      <c r="A86" s="432"/>
      <c r="B86" s="433"/>
      <c r="C86" s="408"/>
      <c r="D86" s="409"/>
      <c r="E86" s="208" t="str">
        <f t="shared" si="10"/>
        <v/>
      </c>
      <c r="F86" s="198" t="str">
        <f t="shared" si="11"/>
        <v/>
      </c>
      <c r="G86" s="198" t="str">
        <f t="shared" si="12"/>
        <v/>
      </c>
      <c r="H86" s="408" t="str">
        <f t="shared" si="13"/>
        <v/>
      </c>
      <c r="I86" s="409"/>
      <c r="J86" s="408">
        <f t="shared" si="14"/>
        <v>0</v>
      </c>
      <c r="K86" s="409"/>
      <c r="L86" s="209" t="str">
        <f t="shared" si="15"/>
        <v/>
      </c>
      <c r="M86" s="205" t="str">
        <f t="shared" si="16"/>
        <v/>
      </c>
      <c r="P86" s="210">
        <f t="shared" si="17"/>
        <v>0</v>
      </c>
      <c r="Q86" s="210">
        <f t="shared" si="18"/>
        <v>0</v>
      </c>
      <c r="S86" s="234"/>
      <c r="T86" s="184"/>
      <c r="U86" s="208" t="str">
        <f t="shared" ref="U86:U99" si="28">IF(S86="","",E86)</f>
        <v/>
      </c>
      <c r="V86" s="208" t="str">
        <f t="shared" ref="V86:V99" si="29">IF(S86="","",_xlfn.NORM.S.INV((1+T86)/2))</f>
        <v/>
      </c>
      <c r="W86" s="208" t="str">
        <f t="shared" ref="W86:W99" si="30">IF(S86="","",SQRT((S86/V86)^2-U86^2))</f>
        <v/>
      </c>
      <c r="X86" s="198" t="str">
        <f t="shared" ref="X86:X99" si="31">IF(S86="","",ROUND(((A86+S86)-(A86-S86))/(2*E86),1))</f>
        <v/>
      </c>
      <c r="Y86" s="206">
        <f t="shared" ref="Y86:Y99" si="32">IF(X86&gt;=4,S86,S86-U86*(1.04-EXP(0.38*LN(X86)-0.54)))</f>
        <v>0</v>
      </c>
      <c r="Z86" s="208" t="str">
        <f t="shared" ref="Z86:Z99" si="33">IF(S86="","",SQRT(W86^2+U86^2))</f>
        <v/>
      </c>
      <c r="AA86" s="208" t="str">
        <f t="shared" ref="AA86:AA99" si="34">IF(S86="","",S86/W86)</f>
        <v/>
      </c>
      <c r="AB86" s="198" t="str">
        <f t="shared" ref="AB86:AB99" si="35">IF(S86="","",Y86/Z86)</f>
        <v/>
      </c>
      <c r="AC86" s="198" t="str">
        <f t="shared" ref="AC86:AC99" si="36">IF(S86="","",W86/Z86)</f>
        <v/>
      </c>
      <c r="AD86" s="184" t="str">
        <f>IF(S86="","",2*(BIVAR((-AA86),AB86,AC86)-BIVAR(-AA86,-AB86,AC86)))</f>
        <v/>
      </c>
      <c r="AE86" s="185" t="str">
        <f>IF(S86="","",2*(BIVAR(AA86,-AB86,AC86)-BIVAR(-AA86,-AB86,AC86)))</f>
        <v/>
      </c>
    </row>
    <row r="87" spans="1:31" ht="15.75" customHeight="1" x14ac:dyDescent="0.25">
      <c r="A87" s="432"/>
      <c r="B87" s="433"/>
      <c r="C87" s="408"/>
      <c r="D87" s="409"/>
      <c r="E87" s="208" t="str">
        <f t="shared" si="10"/>
        <v/>
      </c>
      <c r="F87" s="198" t="str">
        <f t="shared" si="11"/>
        <v/>
      </c>
      <c r="G87" s="198" t="str">
        <f t="shared" si="12"/>
        <v/>
      </c>
      <c r="H87" s="408" t="str">
        <f t="shared" si="13"/>
        <v/>
      </c>
      <c r="I87" s="409"/>
      <c r="J87" s="408">
        <f t="shared" si="14"/>
        <v>0</v>
      </c>
      <c r="K87" s="409"/>
      <c r="L87" s="209" t="str">
        <f t="shared" si="15"/>
        <v/>
      </c>
      <c r="M87" s="205" t="str">
        <f t="shared" si="16"/>
        <v/>
      </c>
      <c r="P87" s="210">
        <f t="shared" si="17"/>
        <v>0</v>
      </c>
      <c r="Q87" s="210">
        <f t="shared" si="18"/>
        <v>0</v>
      </c>
      <c r="S87" s="234"/>
      <c r="T87" s="184"/>
      <c r="U87" s="208" t="str">
        <f t="shared" si="28"/>
        <v/>
      </c>
      <c r="V87" s="208" t="str">
        <f t="shared" si="29"/>
        <v/>
      </c>
      <c r="W87" s="208" t="str">
        <f t="shared" si="30"/>
        <v/>
      </c>
      <c r="X87" s="198" t="str">
        <f t="shared" si="31"/>
        <v/>
      </c>
      <c r="Y87" s="206">
        <f t="shared" si="32"/>
        <v>0</v>
      </c>
      <c r="Z87" s="208" t="str">
        <f t="shared" si="33"/>
        <v/>
      </c>
      <c r="AA87" s="208" t="str">
        <f t="shared" si="34"/>
        <v/>
      </c>
      <c r="AB87" s="198" t="str">
        <f t="shared" si="35"/>
        <v/>
      </c>
      <c r="AC87" s="198" t="str">
        <f t="shared" si="36"/>
        <v/>
      </c>
      <c r="AD87" s="184" t="str">
        <f>IF(S87="","",2*(BIVAR((-AA87),AB87,AC87)-BIVAR(-AA87,-AB87,AC87)))</f>
        <v/>
      </c>
      <c r="AE87" s="185" t="str">
        <f>IF(S87="","",2*(BIVAR(AA87,-AB87,AC87)-BIVAR(-AA87,-AB87,AC87)))</f>
        <v/>
      </c>
    </row>
    <row r="88" spans="1:31" ht="15.75" customHeight="1" x14ac:dyDescent="0.25">
      <c r="A88" s="432"/>
      <c r="B88" s="433"/>
      <c r="C88" s="408"/>
      <c r="D88" s="409"/>
      <c r="E88" s="208" t="str">
        <f t="shared" si="10"/>
        <v/>
      </c>
      <c r="F88" s="198" t="str">
        <f t="shared" si="11"/>
        <v/>
      </c>
      <c r="G88" s="198" t="str">
        <f t="shared" si="12"/>
        <v/>
      </c>
      <c r="H88" s="408" t="str">
        <f t="shared" si="13"/>
        <v/>
      </c>
      <c r="I88" s="409"/>
      <c r="J88" s="408">
        <f t="shared" si="14"/>
        <v>0</v>
      </c>
      <c r="K88" s="409"/>
      <c r="L88" s="209" t="str">
        <f t="shared" si="15"/>
        <v/>
      </c>
      <c r="M88" s="205" t="str">
        <f t="shared" si="16"/>
        <v/>
      </c>
      <c r="P88" s="210">
        <f t="shared" si="17"/>
        <v>0</v>
      </c>
      <c r="Q88" s="210">
        <f t="shared" si="18"/>
        <v>0</v>
      </c>
      <c r="S88" s="234"/>
      <c r="T88" s="184"/>
      <c r="U88" s="208" t="str">
        <f t="shared" si="28"/>
        <v/>
      </c>
      <c r="V88" s="208" t="str">
        <f t="shared" si="29"/>
        <v/>
      </c>
      <c r="W88" s="208" t="str">
        <f t="shared" si="30"/>
        <v/>
      </c>
      <c r="X88" s="198" t="str">
        <f t="shared" si="31"/>
        <v/>
      </c>
      <c r="Y88" s="206">
        <f t="shared" si="32"/>
        <v>0</v>
      </c>
      <c r="Z88" s="208" t="str">
        <f t="shared" si="33"/>
        <v/>
      </c>
      <c r="AA88" s="208" t="str">
        <f t="shared" si="34"/>
        <v/>
      </c>
      <c r="AB88" s="198" t="str">
        <f t="shared" si="35"/>
        <v/>
      </c>
      <c r="AC88" s="198" t="str">
        <f t="shared" si="36"/>
        <v/>
      </c>
      <c r="AD88" s="184" t="str">
        <f>IF(S88="","",2*(BIVAR((-AA88),AB88,AC88)-BIVAR(-AA88,-AB88,AC88)))</f>
        <v/>
      </c>
      <c r="AE88" s="185" t="str">
        <f>IF(S88="","",2*(BIVAR(AA88,-AB88,AC88)-BIVAR(-AA88,-AB88,AC88)))</f>
        <v/>
      </c>
    </row>
    <row r="89" spans="1:31" ht="15.75" customHeight="1" x14ac:dyDescent="0.25">
      <c r="A89" s="432"/>
      <c r="B89" s="433"/>
      <c r="C89" s="408"/>
      <c r="D89" s="409"/>
      <c r="E89" s="208" t="str">
        <f t="shared" si="10"/>
        <v/>
      </c>
      <c r="F89" s="198" t="str">
        <f t="shared" si="11"/>
        <v/>
      </c>
      <c r="G89" s="198" t="str">
        <f t="shared" si="12"/>
        <v/>
      </c>
      <c r="H89" s="408" t="str">
        <f t="shared" si="13"/>
        <v/>
      </c>
      <c r="I89" s="409"/>
      <c r="J89" s="408">
        <f t="shared" si="14"/>
        <v>0</v>
      </c>
      <c r="K89" s="409"/>
      <c r="L89" s="209" t="str">
        <f t="shared" si="15"/>
        <v/>
      </c>
      <c r="M89" s="205" t="str">
        <f t="shared" si="16"/>
        <v/>
      </c>
      <c r="P89" s="210">
        <f t="shared" si="17"/>
        <v>0</v>
      </c>
      <c r="Q89" s="210">
        <f t="shared" si="18"/>
        <v>0</v>
      </c>
      <c r="S89" s="234"/>
      <c r="T89" s="184"/>
      <c r="U89" s="208" t="str">
        <f t="shared" si="28"/>
        <v/>
      </c>
      <c r="V89" s="208" t="str">
        <f t="shared" si="29"/>
        <v/>
      </c>
      <c r="W89" s="208" t="str">
        <f t="shared" si="30"/>
        <v/>
      </c>
      <c r="X89" s="198" t="str">
        <f t="shared" si="31"/>
        <v/>
      </c>
      <c r="Y89" s="206">
        <f t="shared" si="32"/>
        <v>0</v>
      </c>
      <c r="Z89" s="208" t="str">
        <f t="shared" si="33"/>
        <v/>
      </c>
      <c r="AA89" s="208" t="str">
        <f t="shared" si="34"/>
        <v/>
      </c>
      <c r="AB89" s="198" t="str">
        <f t="shared" si="35"/>
        <v/>
      </c>
      <c r="AC89" s="198" t="str">
        <f t="shared" si="36"/>
        <v/>
      </c>
      <c r="AD89" s="184" t="str">
        <f>IF(S89="","",2*(BIVAR((-AA89),AB89,AC89)-BIVAR(-AA89,-AB89,AC89)))</f>
        <v/>
      </c>
      <c r="AE89" s="185" t="str">
        <f>IF(S89="","",2*(BIVAR(AA89,-AB89,AC89)-BIVAR(-AA89,-AB89,AC89)))</f>
        <v/>
      </c>
    </row>
    <row r="90" spans="1:31" ht="15.75" customHeight="1" x14ac:dyDescent="0.25">
      <c r="A90" s="432"/>
      <c r="B90" s="433"/>
      <c r="C90" s="408"/>
      <c r="D90" s="409"/>
      <c r="E90" s="208" t="str">
        <f t="shared" si="10"/>
        <v/>
      </c>
      <c r="F90" s="198" t="str">
        <f t="shared" si="11"/>
        <v/>
      </c>
      <c r="G90" s="198" t="str">
        <f t="shared" si="12"/>
        <v/>
      </c>
      <c r="H90" s="408" t="str">
        <f t="shared" si="13"/>
        <v/>
      </c>
      <c r="I90" s="409"/>
      <c r="J90" s="408">
        <f t="shared" si="14"/>
        <v>0</v>
      </c>
      <c r="K90" s="409"/>
      <c r="L90" s="209" t="str">
        <f t="shared" si="15"/>
        <v/>
      </c>
      <c r="M90" s="205" t="str">
        <f t="shared" si="16"/>
        <v/>
      </c>
      <c r="P90" s="210">
        <f t="shared" si="17"/>
        <v>0</v>
      </c>
      <c r="Q90" s="210">
        <f t="shared" si="18"/>
        <v>0</v>
      </c>
      <c r="S90" s="234"/>
      <c r="T90" s="184"/>
      <c r="U90" s="208" t="str">
        <f t="shared" si="28"/>
        <v/>
      </c>
      <c r="V90" s="208" t="str">
        <f t="shared" si="29"/>
        <v/>
      </c>
      <c r="W90" s="208" t="str">
        <f t="shared" si="30"/>
        <v/>
      </c>
      <c r="X90" s="198" t="str">
        <f t="shared" si="31"/>
        <v/>
      </c>
      <c r="Y90" s="206">
        <f t="shared" si="32"/>
        <v>0</v>
      </c>
      <c r="Z90" s="208" t="str">
        <f t="shared" si="33"/>
        <v/>
      </c>
      <c r="AA90" s="208" t="str">
        <f t="shared" si="34"/>
        <v/>
      </c>
      <c r="AB90" s="198" t="str">
        <f t="shared" si="35"/>
        <v/>
      </c>
      <c r="AC90" s="198" t="str">
        <f t="shared" si="36"/>
        <v/>
      </c>
      <c r="AD90" s="184" t="str">
        <f>IF(S90="","",2*(BIVAR((-AA90),AB90,AC90)-BIVAR(-AA90,-AB90,AC90)))</f>
        <v/>
      </c>
      <c r="AE90" s="185" t="str">
        <f>IF(S90="","",2*(BIVAR(AA90,-AB90,AC90)-BIVAR(-AA90,-AB90,AC90)))</f>
        <v/>
      </c>
    </row>
    <row r="91" spans="1:31" ht="15.75" customHeight="1" x14ac:dyDescent="0.25">
      <c r="A91" s="432"/>
      <c r="B91" s="433"/>
      <c r="C91" s="408"/>
      <c r="D91" s="409"/>
      <c r="E91" s="208" t="str">
        <f t="shared" si="10"/>
        <v/>
      </c>
      <c r="F91" s="198" t="str">
        <f t="shared" si="11"/>
        <v/>
      </c>
      <c r="G91" s="198" t="str">
        <f t="shared" si="12"/>
        <v/>
      </c>
      <c r="H91" s="408" t="str">
        <f t="shared" si="13"/>
        <v/>
      </c>
      <c r="I91" s="409"/>
      <c r="J91" s="408">
        <f t="shared" si="14"/>
        <v>0</v>
      </c>
      <c r="K91" s="409"/>
      <c r="L91" s="209" t="str">
        <f t="shared" si="15"/>
        <v/>
      </c>
      <c r="M91" s="205" t="str">
        <f t="shared" si="16"/>
        <v/>
      </c>
      <c r="P91" s="210">
        <f t="shared" si="17"/>
        <v>0</v>
      </c>
      <c r="Q91" s="210">
        <f t="shared" si="18"/>
        <v>0</v>
      </c>
      <c r="S91" s="234"/>
      <c r="T91" s="184"/>
      <c r="U91" s="208" t="str">
        <f t="shared" si="28"/>
        <v/>
      </c>
      <c r="V91" s="208" t="str">
        <f t="shared" si="29"/>
        <v/>
      </c>
      <c r="W91" s="208" t="str">
        <f t="shared" si="30"/>
        <v/>
      </c>
      <c r="X91" s="198" t="str">
        <f t="shared" si="31"/>
        <v/>
      </c>
      <c r="Y91" s="206">
        <f t="shared" si="32"/>
        <v>0</v>
      </c>
      <c r="Z91" s="208" t="str">
        <f t="shared" si="33"/>
        <v/>
      </c>
      <c r="AA91" s="208" t="str">
        <f t="shared" si="34"/>
        <v/>
      </c>
      <c r="AB91" s="198" t="str">
        <f t="shared" si="35"/>
        <v/>
      </c>
      <c r="AC91" s="198" t="str">
        <f t="shared" si="36"/>
        <v/>
      </c>
      <c r="AD91" s="184" t="str">
        <f>IF(S91="","",2*(BIVAR((-AA91),AB91,AC91)-BIVAR(-AA91,-AB91,AC91)))</f>
        <v/>
      </c>
      <c r="AE91" s="185" t="str">
        <f>IF(S91="","",2*(BIVAR(AA91,-AB91,AC91)-BIVAR(-AA91,-AB91,AC91)))</f>
        <v/>
      </c>
    </row>
    <row r="92" spans="1:31" ht="15.75" customHeight="1" x14ac:dyDescent="0.25">
      <c r="A92" s="432"/>
      <c r="B92" s="433"/>
      <c r="C92" s="408"/>
      <c r="D92" s="409"/>
      <c r="E92" s="208" t="str">
        <f t="shared" si="10"/>
        <v/>
      </c>
      <c r="F92" s="198" t="str">
        <f t="shared" si="11"/>
        <v/>
      </c>
      <c r="G92" s="198" t="str">
        <f t="shared" si="12"/>
        <v/>
      </c>
      <c r="H92" s="408" t="str">
        <f t="shared" si="13"/>
        <v/>
      </c>
      <c r="I92" s="409"/>
      <c r="J92" s="408">
        <f t="shared" si="14"/>
        <v>0</v>
      </c>
      <c r="K92" s="409"/>
      <c r="L92" s="209" t="str">
        <f t="shared" si="15"/>
        <v/>
      </c>
      <c r="M92" s="205" t="str">
        <f t="shared" si="16"/>
        <v/>
      </c>
      <c r="P92" s="210">
        <f t="shared" si="17"/>
        <v>0</v>
      </c>
      <c r="Q92" s="210">
        <f t="shared" si="18"/>
        <v>0</v>
      </c>
      <c r="S92" s="234"/>
      <c r="T92" s="184"/>
      <c r="U92" s="208" t="str">
        <f t="shared" si="28"/>
        <v/>
      </c>
      <c r="V92" s="208" t="str">
        <f t="shared" si="29"/>
        <v/>
      </c>
      <c r="W92" s="208" t="str">
        <f t="shared" si="30"/>
        <v/>
      </c>
      <c r="X92" s="198" t="str">
        <f t="shared" si="31"/>
        <v/>
      </c>
      <c r="Y92" s="206">
        <f t="shared" si="32"/>
        <v>0</v>
      </c>
      <c r="Z92" s="208" t="str">
        <f t="shared" si="33"/>
        <v/>
      </c>
      <c r="AA92" s="208" t="str">
        <f t="shared" si="34"/>
        <v/>
      </c>
      <c r="AB92" s="198" t="str">
        <f t="shared" si="35"/>
        <v/>
      </c>
      <c r="AC92" s="198" t="str">
        <f t="shared" si="36"/>
        <v/>
      </c>
      <c r="AD92" s="184" t="str">
        <f>IF(S92="","",2*(BIVAR((-AA92),AB92,AC92)-BIVAR(-AA92,-AB92,AC92)))</f>
        <v/>
      </c>
      <c r="AE92" s="185" t="str">
        <f>IF(S92="","",2*(BIVAR(AA92,-AB92,AC92)-BIVAR(-AA92,-AB92,AC92)))</f>
        <v/>
      </c>
    </row>
    <row r="93" spans="1:31" ht="15.75" customHeight="1" x14ac:dyDescent="0.25">
      <c r="A93" s="432"/>
      <c r="B93" s="433"/>
      <c r="C93" s="408"/>
      <c r="D93" s="409"/>
      <c r="E93" s="208" t="str">
        <f t="shared" si="10"/>
        <v/>
      </c>
      <c r="F93" s="198" t="str">
        <f t="shared" si="11"/>
        <v/>
      </c>
      <c r="G93" s="198" t="str">
        <f t="shared" si="12"/>
        <v/>
      </c>
      <c r="H93" s="408" t="str">
        <f t="shared" si="13"/>
        <v/>
      </c>
      <c r="I93" s="409"/>
      <c r="J93" s="408">
        <f t="shared" si="14"/>
        <v>0</v>
      </c>
      <c r="K93" s="409"/>
      <c r="L93" s="209" t="str">
        <f t="shared" si="15"/>
        <v/>
      </c>
      <c r="M93" s="205" t="str">
        <f t="shared" si="16"/>
        <v/>
      </c>
      <c r="P93" s="210">
        <f t="shared" si="17"/>
        <v>0</v>
      </c>
      <c r="Q93" s="210">
        <f t="shared" si="18"/>
        <v>0</v>
      </c>
      <c r="S93" s="234"/>
      <c r="T93" s="184"/>
      <c r="U93" s="208" t="str">
        <f t="shared" si="28"/>
        <v/>
      </c>
      <c r="V93" s="208" t="str">
        <f t="shared" si="29"/>
        <v/>
      </c>
      <c r="W93" s="208" t="str">
        <f t="shared" si="30"/>
        <v/>
      </c>
      <c r="X93" s="198" t="str">
        <f t="shared" si="31"/>
        <v/>
      </c>
      <c r="Y93" s="206">
        <f t="shared" si="32"/>
        <v>0</v>
      </c>
      <c r="Z93" s="208" t="str">
        <f t="shared" si="33"/>
        <v/>
      </c>
      <c r="AA93" s="208" t="str">
        <f t="shared" si="34"/>
        <v/>
      </c>
      <c r="AB93" s="198" t="str">
        <f t="shared" si="35"/>
        <v/>
      </c>
      <c r="AC93" s="198" t="str">
        <f t="shared" si="36"/>
        <v/>
      </c>
      <c r="AD93" s="184" t="str">
        <f>IF(S93="","",2*(BIVAR((-AA93),AB93,AC93)-BIVAR(-AA93,-AB93,AC93)))</f>
        <v/>
      </c>
      <c r="AE93" s="185" t="str">
        <f>IF(S93="","",2*(BIVAR(AA93,-AB93,AC93)-BIVAR(-AA93,-AB93,AC93)))</f>
        <v/>
      </c>
    </row>
    <row r="94" spans="1:31" ht="15.75" customHeight="1" x14ac:dyDescent="0.25">
      <c r="A94" s="421"/>
      <c r="B94" s="400"/>
      <c r="C94" s="405"/>
      <c r="D94" s="405"/>
      <c r="E94" s="208" t="str">
        <f t="shared" si="10"/>
        <v/>
      </c>
      <c r="F94" s="198" t="str">
        <f t="shared" si="11"/>
        <v/>
      </c>
      <c r="G94" s="198" t="str">
        <f t="shared" si="12"/>
        <v/>
      </c>
      <c r="H94" s="408" t="str">
        <f t="shared" si="13"/>
        <v/>
      </c>
      <c r="I94" s="409"/>
      <c r="J94" s="408">
        <f t="shared" si="14"/>
        <v>0</v>
      </c>
      <c r="K94" s="409"/>
      <c r="L94" s="209" t="str">
        <f t="shared" si="15"/>
        <v/>
      </c>
      <c r="M94" s="205" t="str">
        <f t="shared" si="16"/>
        <v/>
      </c>
      <c r="P94" s="210">
        <f t="shared" si="17"/>
        <v>0</v>
      </c>
      <c r="Q94" s="210">
        <f t="shared" si="18"/>
        <v>0</v>
      </c>
      <c r="S94" s="234"/>
      <c r="T94" s="184"/>
      <c r="U94" s="208" t="str">
        <f t="shared" si="28"/>
        <v/>
      </c>
      <c r="V94" s="208" t="str">
        <f t="shared" si="29"/>
        <v/>
      </c>
      <c r="W94" s="208" t="str">
        <f t="shared" si="30"/>
        <v/>
      </c>
      <c r="X94" s="198" t="str">
        <f t="shared" si="31"/>
        <v/>
      </c>
      <c r="Y94" s="206">
        <f t="shared" si="32"/>
        <v>0</v>
      </c>
      <c r="Z94" s="208" t="str">
        <f t="shared" si="33"/>
        <v/>
      </c>
      <c r="AA94" s="208" t="str">
        <f t="shared" si="34"/>
        <v/>
      </c>
      <c r="AB94" s="198" t="str">
        <f t="shared" si="35"/>
        <v/>
      </c>
      <c r="AC94" s="198" t="str">
        <f t="shared" si="36"/>
        <v/>
      </c>
      <c r="AD94" s="184" t="str">
        <f>IF(S94="","",2*(BIVAR((-AA94),AB94,AC94)-BIVAR(-AA94,-AB94,AC94)))</f>
        <v/>
      </c>
      <c r="AE94" s="185" t="str">
        <f>IF(S94="","",2*(BIVAR(AA94,-AB94,AC94)-BIVAR(-AA94,-AB94,AC94)))</f>
        <v/>
      </c>
    </row>
    <row r="95" spans="1:31" ht="15.75" customHeight="1" x14ac:dyDescent="0.25">
      <c r="A95" s="421"/>
      <c r="B95" s="400"/>
      <c r="C95" s="405"/>
      <c r="D95" s="405"/>
      <c r="E95" s="208" t="str">
        <f t="shared" si="10"/>
        <v/>
      </c>
      <c r="F95" s="198" t="str">
        <f t="shared" si="11"/>
        <v/>
      </c>
      <c r="G95" s="198" t="str">
        <f t="shared" si="12"/>
        <v/>
      </c>
      <c r="H95" s="408" t="str">
        <f t="shared" si="13"/>
        <v/>
      </c>
      <c r="I95" s="409"/>
      <c r="J95" s="408">
        <f t="shared" si="14"/>
        <v>0</v>
      </c>
      <c r="K95" s="409"/>
      <c r="L95" s="209" t="str">
        <f t="shared" si="15"/>
        <v/>
      </c>
      <c r="M95" s="205" t="str">
        <f t="shared" si="16"/>
        <v/>
      </c>
      <c r="P95" s="210">
        <f t="shared" si="17"/>
        <v>0</v>
      </c>
      <c r="Q95" s="210">
        <f t="shared" si="18"/>
        <v>0</v>
      </c>
      <c r="S95" s="234"/>
      <c r="T95" s="184"/>
      <c r="U95" s="208" t="str">
        <f t="shared" si="28"/>
        <v/>
      </c>
      <c r="V95" s="208" t="str">
        <f t="shared" si="29"/>
        <v/>
      </c>
      <c r="W95" s="208" t="str">
        <f t="shared" si="30"/>
        <v/>
      </c>
      <c r="X95" s="198" t="str">
        <f t="shared" si="31"/>
        <v/>
      </c>
      <c r="Y95" s="206">
        <f t="shared" si="32"/>
        <v>0</v>
      </c>
      <c r="Z95" s="208" t="str">
        <f t="shared" si="33"/>
        <v/>
      </c>
      <c r="AA95" s="208" t="str">
        <f t="shared" si="34"/>
        <v/>
      </c>
      <c r="AB95" s="198" t="str">
        <f t="shared" si="35"/>
        <v/>
      </c>
      <c r="AC95" s="198" t="str">
        <f t="shared" si="36"/>
        <v/>
      </c>
      <c r="AD95" s="184" t="str">
        <f>IF(S95="","",2*(BIVAR((-AA95),AB95,AC95)-BIVAR(-AA95,-AB95,AC95)))</f>
        <v/>
      </c>
      <c r="AE95" s="185" t="str">
        <f>IF(S95="","",2*(BIVAR(AA95,-AB95,AC95)-BIVAR(-AA95,-AB95,AC95)))</f>
        <v/>
      </c>
    </row>
    <row r="96" spans="1:31" ht="15.75" customHeight="1" x14ac:dyDescent="0.25">
      <c r="A96" s="421"/>
      <c r="B96" s="400"/>
      <c r="C96" s="405"/>
      <c r="D96" s="405"/>
      <c r="E96" s="208" t="str">
        <f t="shared" si="10"/>
        <v/>
      </c>
      <c r="F96" s="198" t="str">
        <f t="shared" si="11"/>
        <v/>
      </c>
      <c r="G96" s="198" t="str">
        <f t="shared" si="12"/>
        <v/>
      </c>
      <c r="H96" s="408" t="str">
        <f t="shared" si="13"/>
        <v/>
      </c>
      <c r="I96" s="409"/>
      <c r="J96" s="408">
        <f t="shared" si="14"/>
        <v>0</v>
      </c>
      <c r="K96" s="409"/>
      <c r="L96" s="209" t="str">
        <f t="shared" si="15"/>
        <v/>
      </c>
      <c r="M96" s="205" t="str">
        <f t="shared" si="16"/>
        <v/>
      </c>
      <c r="P96" s="210">
        <f t="shared" si="17"/>
        <v>0</v>
      </c>
      <c r="Q96" s="210">
        <f t="shared" si="18"/>
        <v>0</v>
      </c>
      <c r="S96" s="234"/>
      <c r="T96" s="184"/>
      <c r="U96" s="208" t="str">
        <f t="shared" si="28"/>
        <v/>
      </c>
      <c r="V96" s="208" t="str">
        <f t="shared" si="29"/>
        <v/>
      </c>
      <c r="W96" s="208" t="str">
        <f t="shared" si="30"/>
        <v/>
      </c>
      <c r="X96" s="198" t="str">
        <f t="shared" si="31"/>
        <v/>
      </c>
      <c r="Y96" s="206">
        <f t="shared" si="32"/>
        <v>0</v>
      </c>
      <c r="Z96" s="208" t="str">
        <f t="shared" si="33"/>
        <v/>
      </c>
      <c r="AA96" s="208" t="str">
        <f t="shared" si="34"/>
        <v/>
      </c>
      <c r="AB96" s="198" t="str">
        <f t="shared" si="35"/>
        <v/>
      </c>
      <c r="AC96" s="198" t="str">
        <f t="shared" si="36"/>
        <v/>
      </c>
      <c r="AD96" s="184" t="str">
        <f>IF(S96="","",2*(BIVAR((-AA96),AB96,AC96)-BIVAR(-AA96,-AB96,AC96)))</f>
        <v/>
      </c>
      <c r="AE96" s="185" t="str">
        <f>IF(S96="","",2*(BIVAR(AA96,-AB96,AC96)-BIVAR(-AA96,-AB96,AC96)))</f>
        <v/>
      </c>
    </row>
    <row r="97" spans="1:31" ht="15.75" customHeight="1" x14ac:dyDescent="0.25">
      <c r="A97" s="421"/>
      <c r="B97" s="400"/>
      <c r="C97" s="405"/>
      <c r="D97" s="405"/>
      <c r="E97" s="208" t="str">
        <f t="shared" si="10"/>
        <v/>
      </c>
      <c r="F97" s="198" t="str">
        <f t="shared" si="11"/>
        <v/>
      </c>
      <c r="G97" s="198" t="str">
        <f t="shared" si="12"/>
        <v/>
      </c>
      <c r="H97" s="408" t="str">
        <f t="shared" si="13"/>
        <v/>
      </c>
      <c r="I97" s="409"/>
      <c r="J97" s="408">
        <f t="shared" si="14"/>
        <v>0</v>
      </c>
      <c r="K97" s="409"/>
      <c r="L97" s="209" t="str">
        <f t="shared" si="15"/>
        <v/>
      </c>
      <c r="M97" s="205" t="str">
        <f t="shared" si="16"/>
        <v/>
      </c>
      <c r="P97" s="210">
        <f t="shared" si="17"/>
        <v>0</v>
      </c>
      <c r="Q97" s="210">
        <f t="shared" si="18"/>
        <v>0</v>
      </c>
      <c r="S97" s="234"/>
      <c r="T97" s="184"/>
      <c r="U97" s="208" t="str">
        <f t="shared" si="28"/>
        <v/>
      </c>
      <c r="V97" s="208" t="str">
        <f t="shared" si="29"/>
        <v/>
      </c>
      <c r="W97" s="208" t="str">
        <f t="shared" si="30"/>
        <v/>
      </c>
      <c r="X97" s="198" t="str">
        <f t="shared" si="31"/>
        <v/>
      </c>
      <c r="Y97" s="206">
        <f t="shared" si="32"/>
        <v>0</v>
      </c>
      <c r="Z97" s="208" t="str">
        <f t="shared" si="33"/>
        <v/>
      </c>
      <c r="AA97" s="208" t="str">
        <f t="shared" si="34"/>
        <v/>
      </c>
      <c r="AB97" s="198" t="str">
        <f t="shared" si="35"/>
        <v/>
      </c>
      <c r="AC97" s="198" t="str">
        <f t="shared" si="36"/>
        <v/>
      </c>
      <c r="AD97" s="184" t="str">
        <f>IF(S97="","",2*(BIVAR((-AA97),AB97,AC97)-BIVAR(-AA97,-AB97,AC97)))</f>
        <v/>
      </c>
      <c r="AE97" s="185" t="str">
        <f>IF(S97="","",2*(BIVAR(AA97,-AB97,AC97)-BIVAR(-AA97,-AB97,AC97)))</f>
        <v/>
      </c>
    </row>
    <row r="98" spans="1:31" ht="15.75" customHeight="1" x14ac:dyDescent="0.25">
      <c r="A98" s="421"/>
      <c r="B98" s="400"/>
      <c r="C98" s="405"/>
      <c r="D98" s="405"/>
      <c r="E98" s="208" t="str">
        <f t="shared" si="10"/>
        <v/>
      </c>
      <c r="F98" s="198" t="str">
        <f t="shared" si="11"/>
        <v/>
      </c>
      <c r="G98" s="198" t="str">
        <f t="shared" si="12"/>
        <v/>
      </c>
      <c r="H98" s="408" t="str">
        <f t="shared" si="13"/>
        <v/>
      </c>
      <c r="I98" s="409"/>
      <c r="J98" s="408">
        <f t="shared" si="14"/>
        <v>0</v>
      </c>
      <c r="K98" s="409"/>
      <c r="L98" s="209" t="str">
        <f t="shared" si="15"/>
        <v/>
      </c>
      <c r="M98" s="205" t="str">
        <f t="shared" si="16"/>
        <v/>
      </c>
      <c r="P98" s="210">
        <f t="shared" si="17"/>
        <v>0</v>
      </c>
      <c r="Q98" s="210">
        <f t="shared" si="18"/>
        <v>0</v>
      </c>
      <c r="S98" s="234"/>
      <c r="T98" s="184"/>
      <c r="U98" s="208" t="str">
        <f t="shared" si="28"/>
        <v/>
      </c>
      <c r="V98" s="208" t="str">
        <f t="shared" si="29"/>
        <v/>
      </c>
      <c r="W98" s="208" t="str">
        <f t="shared" si="30"/>
        <v/>
      </c>
      <c r="X98" s="198" t="str">
        <f t="shared" si="31"/>
        <v/>
      </c>
      <c r="Y98" s="206">
        <f t="shared" si="32"/>
        <v>0</v>
      </c>
      <c r="Z98" s="208" t="str">
        <f t="shared" si="33"/>
        <v/>
      </c>
      <c r="AA98" s="208" t="str">
        <f t="shared" si="34"/>
        <v/>
      </c>
      <c r="AB98" s="198" t="str">
        <f t="shared" si="35"/>
        <v/>
      </c>
      <c r="AC98" s="198" t="str">
        <f t="shared" si="36"/>
        <v/>
      </c>
      <c r="AD98" s="184" t="str">
        <f>IF(S98="","",2*(BIVAR((-AA98),AB98,AC98)-BIVAR(-AA98,-AB98,AC98)))</f>
        <v/>
      </c>
      <c r="AE98" s="185" t="str">
        <f>IF(S98="","",2*(BIVAR(AA98,-AB98,AC98)-BIVAR(-AA98,-AB98,AC98)))</f>
        <v/>
      </c>
    </row>
    <row r="99" spans="1:31" ht="15.75" customHeight="1" thickBot="1" x14ac:dyDescent="0.3">
      <c r="A99" s="416"/>
      <c r="B99" s="417"/>
      <c r="C99" s="418"/>
      <c r="D99" s="418"/>
      <c r="E99" s="187" t="str">
        <f t="shared" si="10"/>
        <v/>
      </c>
      <c r="F99" s="199" t="str">
        <f t="shared" si="11"/>
        <v/>
      </c>
      <c r="G99" s="199" t="str">
        <f t="shared" si="12"/>
        <v/>
      </c>
      <c r="H99" s="418" t="str">
        <f t="shared" si="13"/>
        <v/>
      </c>
      <c r="I99" s="418"/>
      <c r="J99" s="419">
        <f t="shared" si="14"/>
        <v>0</v>
      </c>
      <c r="K99" s="420"/>
      <c r="L99" s="189" t="str">
        <f t="shared" si="15"/>
        <v/>
      </c>
      <c r="M99" s="204" t="str">
        <f t="shared" si="16"/>
        <v/>
      </c>
      <c r="P99" s="210">
        <f t="shared" si="17"/>
        <v>0</v>
      </c>
      <c r="Q99" s="210">
        <f t="shared" si="18"/>
        <v>0</v>
      </c>
      <c r="S99" s="235"/>
      <c r="T99" s="186"/>
      <c r="U99" s="187" t="str">
        <f t="shared" si="28"/>
        <v/>
      </c>
      <c r="V99" s="187" t="str">
        <f t="shared" si="29"/>
        <v/>
      </c>
      <c r="W99" s="187" t="str">
        <f t="shared" si="30"/>
        <v/>
      </c>
      <c r="X99" s="199" t="str">
        <f t="shared" si="31"/>
        <v/>
      </c>
      <c r="Y99" s="239">
        <f t="shared" si="32"/>
        <v>0</v>
      </c>
      <c r="Z99" s="187" t="str">
        <f t="shared" si="33"/>
        <v/>
      </c>
      <c r="AA99" s="187" t="str">
        <f t="shared" si="34"/>
        <v/>
      </c>
      <c r="AB99" s="199" t="str">
        <f t="shared" si="35"/>
        <v/>
      </c>
      <c r="AC99" s="199" t="str">
        <f t="shared" si="36"/>
        <v/>
      </c>
      <c r="AD99" s="186" t="str">
        <f>IF(S99="","",2*(BIVAR((-AA99),AB99,AC99)-BIVAR(-AA99,-AB99,AC99)))</f>
        <v/>
      </c>
      <c r="AE99" s="188" t="str">
        <f>IF(S99="","",2*(BIVAR(AA99,-AB99,AC99)-BIVAR(-AA99,-AB99,AC99)))</f>
        <v/>
      </c>
    </row>
    <row r="122" spans="1:13" ht="35.25" customHeight="1" x14ac:dyDescent="0.25">
      <c r="A122" s="410" t="s">
        <v>1774</v>
      </c>
      <c r="B122" s="411"/>
      <c r="C122" s="411"/>
      <c r="D122" s="411"/>
      <c r="E122" s="411"/>
      <c r="F122" s="411"/>
      <c r="G122" s="411"/>
      <c r="H122" s="411"/>
      <c r="I122" s="411"/>
      <c r="J122" s="411"/>
      <c r="K122" s="411"/>
      <c r="L122" s="411"/>
      <c r="M122" s="412"/>
    </row>
    <row r="123" spans="1:13" ht="35.25" customHeight="1" x14ac:dyDescent="0.25">
      <c r="A123" s="413"/>
      <c r="B123" s="414"/>
      <c r="C123" s="414"/>
      <c r="D123" s="414"/>
      <c r="E123" s="414"/>
      <c r="F123" s="414"/>
      <c r="G123" s="414"/>
      <c r="H123" s="414"/>
      <c r="I123" s="414"/>
      <c r="J123" s="414"/>
      <c r="K123" s="414"/>
      <c r="L123" s="414"/>
      <c r="M123" s="415"/>
    </row>
    <row r="124" spans="1:13" ht="35.25" customHeight="1" x14ac:dyDescent="0.25">
      <c r="A124" s="410" t="s">
        <v>2600</v>
      </c>
      <c r="B124" s="411"/>
      <c r="C124" s="411"/>
      <c r="D124" s="411"/>
      <c r="E124" s="411"/>
      <c r="F124" s="411"/>
      <c r="G124" s="411"/>
      <c r="H124" s="411"/>
      <c r="I124" s="411"/>
      <c r="J124" s="411"/>
      <c r="K124" s="411"/>
      <c r="L124" s="411"/>
      <c r="M124" s="412"/>
    </row>
    <row r="125" spans="1:13" ht="35.25" customHeight="1" x14ac:dyDescent="0.25">
      <c r="A125" s="413"/>
      <c r="B125" s="414"/>
      <c r="C125" s="414"/>
      <c r="D125" s="414"/>
      <c r="E125" s="414"/>
      <c r="F125" s="414"/>
      <c r="G125" s="414"/>
      <c r="H125" s="414"/>
      <c r="I125" s="414"/>
      <c r="J125" s="414"/>
      <c r="K125" s="414"/>
      <c r="L125" s="414"/>
      <c r="M125" s="415"/>
    </row>
    <row r="126" spans="1:13" ht="33.75" customHeight="1" x14ac:dyDescent="0.25">
      <c r="A126" s="410" t="s">
        <v>2624</v>
      </c>
      <c r="B126" s="467"/>
      <c r="C126" s="467"/>
      <c r="D126" s="467"/>
      <c r="E126" s="467"/>
      <c r="F126" s="467"/>
      <c r="G126" s="467"/>
      <c r="H126" s="467"/>
      <c r="I126" s="467"/>
      <c r="J126" s="467"/>
      <c r="K126" s="467"/>
      <c r="L126" s="467"/>
      <c r="M126" s="468"/>
    </row>
    <row r="127" spans="1:13" ht="33.75" customHeight="1" x14ac:dyDescent="0.25">
      <c r="A127" s="469"/>
      <c r="B127" s="470"/>
      <c r="C127" s="470"/>
      <c r="D127" s="470"/>
      <c r="E127" s="470"/>
      <c r="F127" s="470"/>
      <c r="G127" s="470"/>
      <c r="H127" s="470"/>
      <c r="I127" s="470"/>
      <c r="J127" s="470"/>
      <c r="K127" s="470"/>
      <c r="L127" s="470"/>
      <c r="M127" s="471"/>
    </row>
    <row r="128" spans="1:13" ht="18.75" customHeight="1" x14ac:dyDescent="0.25">
      <c r="A128" s="410" t="s">
        <v>2622</v>
      </c>
      <c r="B128" s="411"/>
      <c r="C128" s="411"/>
      <c r="D128" s="411"/>
      <c r="E128" s="411"/>
      <c r="F128" s="411"/>
      <c r="G128" s="411"/>
      <c r="H128" s="411"/>
      <c r="I128" s="411"/>
      <c r="J128" s="411"/>
      <c r="K128" s="411"/>
      <c r="L128" s="411"/>
      <c r="M128" s="412"/>
    </row>
    <row r="129" spans="1:13" ht="18.75" customHeight="1" x14ac:dyDescent="0.25">
      <c r="A129" s="413"/>
      <c r="B129" s="414"/>
      <c r="C129" s="414"/>
      <c r="D129" s="414"/>
      <c r="E129" s="414"/>
      <c r="F129" s="414"/>
      <c r="G129" s="414"/>
      <c r="H129" s="414"/>
      <c r="I129" s="414"/>
      <c r="J129" s="414"/>
      <c r="K129" s="414"/>
      <c r="L129" s="414"/>
      <c r="M129" s="415"/>
    </row>
    <row r="130" spans="1:13" ht="15.75" customHeight="1" x14ac:dyDescent="0.25">
      <c r="A130" s="410" t="s">
        <v>2601</v>
      </c>
      <c r="B130" s="411"/>
      <c r="C130" s="411"/>
      <c r="D130" s="411"/>
      <c r="E130" s="411"/>
      <c r="F130" s="411"/>
      <c r="G130" s="411"/>
      <c r="H130" s="411"/>
      <c r="I130" s="411"/>
      <c r="J130" s="411"/>
      <c r="K130" s="411"/>
      <c r="L130" s="411"/>
      <c r="M130" s="412"/>
    </row>
    <row r="131" spans="1:13" ht="15" x14ac:dyDescent="0.25">
      <c r="A131" s="413"/>
      <c r="B131" s="414"/>
      <c r="C131" s="414"/>
      <c r="D131" s="414"/>
      <c r="E131" s="414"/>
      <c r="F131" s="414"/>
      <c r="G131" s="414"/>
      <c r="H131" s="414"/>
      <c r="I131" s="414"/>
      <c r="J131" s="414"/>
      <c r="K131" s="414"/>
      <c r="L131" s="414"/>
      <c r="M131" s="415"/>
    </row>
    <row r="132" spans="1:13" ht="15" x14ac:dyDescent="0.25"/>
    <row r="133" spans="1:13" thickBot="1" x14ac:dyDescent="0.3"/>
    <row r="134" spans="1:13" ht="15" x14ac:dyDescent="0.25">
      <c r="A134" s="301"/>
      <c r="B134" s="302"/>
      <c r="C134" s="302"/>
      <c r="D134" s="302"/>
      <c r="E134" s="302"/>
      <c r="F134" s="302"/>
      <c r="G134" s="302"/>
      <c r="H134" s="302"/>
      <c r="I134" s="302"/>
      <c r="J134" s="302"/>
      <c r="K134" s="302"/>
      <c r="L134" s="302"/>
      <c r="M134" s="303"/>
    </row>
    <row r="135" spans="1:13" ht="15" x14ac:dyDescent="0.25">
      <c r="A135" s="304"/>
      <c r="B135" s="305"/>
      <c r="C135" s="305"/>
      <c r="D135" s="305"/>
      <c r="E135" s="305"/>
      <c r="F135" s="305"/>
      <c r="G135" s="305"/>
      <c r="H135" s="305"/>
      <c r="I135" s="305"/>
      <c r="J135" s="305"/>
      <c r="K135" s="305"/>
      <c r="L135" s="305"/>
      <c r="M135" s="306"/>
    </row>
    <row r="136" spans="1:13" ht="15" x14ac:dyDescent="0.25">
      <c r="A136" s="304"/>
      <c r="B136" s="305"/>
      <c r="C136" s="305"/>
      <c r="D136" s="305"/>
      <c r="E136" s="305"/>
      <c r="F136" s="305"/>
      <c r="G136" s="305"/>
      <c r="H136" s="305"/>
      <c r="I136" s="305"/>
      <c r="J136" s="305"/>
      <c r="K136" s="305"/>
      <c r="L136" s="305"/>
      <c r="M136" s="306"/>
    </row>
    <row r="137" spans="1:13" thickBot="1" x14ac:dyDescent="0.3">
      <c r="A137" s="307"/>
      <c r="B137" s="308"/>
      <c r="C137" s="308"/>
      <c r="D137" s="308"/>
      <c r="E137" s="308"/>
      <c r="F137" s="308"/>
      <c r="G137" s="308"/>
      <c r="H137" s="308"/>
      <c r="I137" s="308"/>
      <c r="J137" s="308"/>
      <c r="K137" s="308"/>
      <c r="L137" s="308"/>
      <c r="M137" s="309"/>
    </row>
    <row r="138" spans="1:13" x14ac:dyDescent="0.25">
      <c r="A138" s="70"/>
      <c r="B138" s="70"/>
      <c r="C138" s="70"/>
      <c r="D138" s="70"/>
      <c r="E138" s="70"/>
      <c r="F138" s="70"/>
      <c r="G138" s="70"/>
      <c r="H138" s="70"/>
      <c r="I138" s="70"/>
      <c r="J138" s="70"/>
      <c r="K138" s="70"/>
      <c r="L138" s="70"/>
      <c r="M138" s="70"/>
    </row>
    <row r="139" spans="1:13" ht="15" x14ac:dyDescent="0.25">
      <c r="A139" s="159"/>
      <c r="B139" s="159"/>
      <c r="C139" s="159"/>
      <c r="D139" s="159"/>
      <c r="E139" s="159"/>
      <c r="F139" s="159"/>
      <c r="G139" s="159"/>
      <c r="H139" s="159"/>
      <c r="I139" s="159"/>
      <c r="J139" s="159"/>
      <c r="K139" s="159"/>
      <c r="L139" s="179"/>
      <c r="M139" s="159"/>
    </row>
    <row r="140" spans="1:13" ht="15" x14ac:dyDescent="0.25">
      <c r="A140" s="289"/>
      <c r="B140" s="289"/>
      <c r="C140" s="289"/>
      <c r="D140" s="289"/>
      <c r="E140" s="290" t="s">
        <v>48</v>
      </c>
      <c r="F140" s="290"/>
      <c r="G140" s="290"/>
      <c r="H140" s="290"/>
      <c r="I140" s="290"/>
      <c r="J140" s="290"/>
      <c r="K140" s="290"/>
      <c r="L140" s="290"/>
      <c r="M140" s="290"/>
    </row>
    <row r="141" spans="1:13" ht="15" x14ac:dyDescent="0.25">
      <c r="A141" s="289"/>
      <c r="B141" s="289"/>
      <c r="C141" s="289"/>
      <c r="D141" s="289"/>
      <c r="E141" s="290"/>
      <c r="F141" s="290"/>
      <c r="G141" s="290"/>
      <c r="H141" s="290"/>
      <c r="I141" s="290"/>
      <c r="J141" s="290"/>
      <c r="K141" s="290"/>
      <c r="L141" s="290"/>
      <c r="M141" s="290"/>
    </row>
    <row r="142" spans="1:13" ht="15" x14ac:dyDescent="0.25">
      <c r="A142" s="289"/>
      <c r="B142" s="289"/>
      <c r="C142" s="289"/>
      <c r="D142" s="289"/>
      <c r="E142" s="290"/>
      <c r="F142" s="290"/>
      <c r="G142" s="290"/>
      <c r="H142" s="290"/>
      <c r="I142" s="290"/>
      <c r="J142" s="290"/>
      <c r="K142" s="290"/>
      <c r="L142" s="290"/>
      <c r="M142" s="290"/>
    </row>
    <row r="143" spans="1:13" ht="15" x14ac:dyDescent="0.25">
      <c r="A143" s="289"/>
      <c r="B143" s="289"/>
      <c r="C143" s="289"/>
      <c r="D143" s="289"/>
      <c r="E143" s="299" t="s">
        <v>51</v>
      </c>
      <c r="F143" s="299"/>
      <c r="G143" s="299"/>
      <c r="H143" s="299"/>
      <c r="I143" s="299"/>
      <c r="J143" s="299"/>
      <c r="K143" s="299"/>
      <c r="L143" s="299"/>
      <c r="M143" s="299"/>
    </row>
    <row r="144" spans="1:13" ht="15.75" customHeight="1" x14ac:dyDescent="0.25">
      <c r="A144" s="289"/>
      <c r="B144" s="289"/>
      <c r="C144" s="289"/>
      <c r="D144" s="289"/>
      <c r="E144" s="299"/>
      <c r="F144" s="299"/>
      <c r="G144" s="299"/>
      <c r="H144" s="299"/>
      <c r="I144" s="299"/>
      <c r="J144" s="299"/>
      <c r="K144" s="299"/>
      <c r="L144" s="299"/>
      <c r="M144" s="299"/>
    </row>
    <row r="145" spans="1:31" ht="15" x14ac:dyDescent="0.25">
      <c r="A145" s="289"/>
      <c r="B145" s="289"/>
      <c r="C145" s="289"/>
      <c r="D145" s="289"/>
      <c r="E145" s="299"/>
      <c r="F145" s="299"/>
      <c r="G145" s="299"/>
      <c r="H145" s="299"/>
      <c r="I145" s="299"/>
      <c r="J145" s="299"/>
      <c r="K145" s="299"/>
      <c r="L145" s="299"/>
      <c r="M145" s="299"/>
    </row>
    <row r="146" spans="1:31" ht="19.5" customHeight="1" x14ac:dyDescent="0.25"/>
    <row r="147" spans="1:31" ht="33" customHeight="1" thickBot="1" x14ac:dyDescent="0.3"/>
    <row r="148" spans="1:31" ht="15.75" customHeight="1" thickBot="1" x14ac:dyDescent="0.3">
      <c r="A148" s="260" t="s">
        <v>1775</v>
      </c>
      <c r="B148" s="261"/>
      <c r="C148" s="261"/>
      <c r="D148" s="261"/>
      <c r="E148" s="261"/>
      <c r="F148" s="261"/>
      <c r="G148" s="261"/>
      <c r="H148" s="261"/>
      <c r="I148" s="261"/>
      <c r="J148" s="261"/>
      <c r="K148" s="261"/>
      <c r="L148" s="261"/>
      <c r="M148" s="262"/>
      <c r="S148" s="260" t="s">
        <v>2619</v>
      </c>
      <c r="T148" s="261"/>
      <c r="U148" s="261"/>
      <c r="V148" s="261"/>
      <c r="W148" s="261"/>
      <c r="X148" s="261"/>
      <c r="Y148" s="261"/>
      <c r="Z148" s="261"/>
      <c r="AA148" s="261"/>
      <c r="AB148" s="261"/>
      <c r="AC148" s="261"/>
      <c r="AD148" s="261"/>
      <c r="AE148" s="262"/>
    </row>
    <row r="149" spans="1:31" ht="49.5" customHeight="1" thickBot="1" x14ac:dyDescent="0.3">
      <c r="A149" s="312" t="s">
        <v>0</v>
      </c>
      <c r="B149" s="313"/>
      <c r="C149" s="314" t="s">
        <v>2</v>
      </c>
      <c r="D149" s="313"/>
      <c r="E149" s="200" t="s">
        <v>1771</v>
      </c>
      <c r="F149" s="200" t="s">
        <v>1772</v>
      </c>
      <c r="G149" s="200" t="s">
        <v>1</v>
      </c>
      <c r="H149" s="314" t="s">
        <v>3</v>
      </c>
      <c r="I149" s="313"/>
      <c r="J149" s="314" t="s">
        <v>5</v>
      </c>
      <c r="K149" s="313"/>
      <c r="L149" s="183" t="s">
        <v>2623</v>
      </c>
      <c r="M149" s="27" t="s">
        <v>2621</v>
      </c>
      <c r="P149" s="99" t="s">
        <v>58</v>
      </c>
      <c r="Q149" s="99" t="s">
        <v>59</v>
      </c>
      <c r="S149" s="211" t="s">
        <v>2607</v>
      </c>
      <c r="T149" s="212" t="s">
        <v>2608</v>
      </c>
      <c r="U149" s="212" t="s">
        <v>2609</v>
      </c>
      <c r="V149" s="212" t="s">
        <v>2610</v>
      </c>
      <c r="W149" s="212" t="s">
        <v>2611</v>
      </c>
      <c r="X149" s="212" t="s">
        <v>2620</v>
      </c>
      <c r="Y149" s="212" t="s">
        <v>2613</v>
      </c>
      <c r="Z149" s="212" t="s">
        <v>2612</v>
      </c>
      <c r="AA149" s="212" t="s">
        <v>2614</v>
      </c>
      <c r="AB149" s="212" t="s">
        <v>2615</v>
      </c>
      <c r="AC149" s="212" t="s">
        <v>2616</v>
      </c>
      <c r="AD149" s="212" t="s">
        <v>2617</v>
      </c>
      <c r="AE149" s="213" t="s">
        <v>2618</v>
      </c>
    </row>
    <row r="150" spans="1:31" ht="15.75" customHeight="1" x14ac:dyDescent="0.25">
      <c r="A150" s="300"/>
      <c r="B150" s="298"/>
      <c r="C150" s="297"/>
      <c r="D150" s="298"/>
      <c r="E150" s="208" t="str">
        <f>IF(A150="","",2*$K$37*(1/SQRT(3))+(0.0016%*ABS(A150)+0.000001450377377))</f>
        <v/>
      </c>
      <c r="F150" s="198" t="str">
        <f>IF(A150="","",ROUND(((A150+S150)-(A150-S150))/(2*E150),1)&amp;":1")</f>
        <v/>
      </c>
      <c r="G150" s="198" t="str">
        <f>IF($K$36="","",$K$36)</f>
        <v/>
      </c>
      <c r="H150" s="297" t="str">
        <f t="shared" ref="H150:H170" si="37">IF(A150="","",A150-C150)</f>
        <v/>
      </c>
      <c r="I150" s="298"/>
      <c r="J150" s="408">
        <f>IF(X150&lt;4,Y150,S150)</f>
        <v>0</v>
      </c>
      <c r="K150" s="409"/>
      <c r="L150" s="209" t="str">
        <f>IF(AD150="","",IF(AD150&lt;2%,"&lt; 2%", "&gt; 2%"))</f>
        <v/>
      </c>
      <c r="M150" s="205" t="str">
        <f>IF(H150="","",IF(ABS(H150+E150)&lt;ABS(J150),"Pass",IF(ABS(H150-E150)&gt;ABS(J150),"Fail",IF(AND(ABS(H150+E150)&gt;ABS(J150),ABS(H150-E150)&lt;ABS(J150)),"-",""))))</f>
        <v/>
      </c>
      <c r="P150" s="210">
        <f>IF(X150&lt;4,-Y150,-S150)</f>
        <v>0</v>
      </c>
      <c r="Q150" s="210">
        <f>IF(X150&lt;4,Y150,S150)</f>
        <v>0</v>
      </c>
      <c r="S150" s="237"/>
      <c r="T150" s="214"/>
      <c r="U150" s="238"/>
      <c r="V150" s="215" t="str">
        <f>IF(S150="","",_xlfn.NORM.S.INV((1+T150)/2))</f>
        <v/>
      </c>
      <c r="W150" s="238" t="str">
        <f>IF(S150="","",SQRT((S150/V150)^2-U150^2))</f>
        <v/>
      </c>
      <c r="X150" s="201" t="str">
        <f>IF(S150="","",ROUND(((A150+S150)-(A150-S150))/(2*E150),1))</f>
        <v/>
      </c>
      <c r="Y150" s="240">
        <f>IF(X150&gt;=4,S150,S150-U150*(1.04-EXP(0.38*LN(X150)-0.54)))</f>
        <v>0</v>
      </c>
      <c r="Z150" s="215" t="str">
        <f>IF(S150="","",SQRT(W150^2+U150^2))</f>
        <v/>
      </c>
      <c r="AA150" s="215" t="str">
        <f>IF(S150="","",S150/W150)</f>
        <v/>
      </c>
      <c r="AB150" s="201" t="str">
        <f>IF(S150="","",Y150/Z150)</f>
        <v/>
      </c>
      <c r="AC150" s="201" t="str">
        <f>IF(S150="","",W150/Z150)</f>
        <v/>
      </c>
      <c r="AD150" s="214" t="str">
        <f>IF(S150="","",2*(BIVAR((-AA150),AB150,AC150)-BIVAR(-AA150,-AB150,AC150)))</f>
        <v/>
      </c>
      <c r="AE150" s="216" t="str">
        <f>IF(S150="","",2*(BIVAR(AA150,-AB150,AC150)-BIVAR(-AA150,-AB150,AC150)))</f>
        <v/>
      </c>
    </row>
    <row r="151" spans="1:31" ht="15.75" customHeight="1" x14ac:dyDescent="0.25">
      <c r="A151" s="300"/>
      <c r="B151" s="298"/>
      <c r="C151" s="297"/>
      <c r="D151" s="298"/>
      <c r="E151" s="208" t="str">
        <f t="shared" ref="E151:E170" si="38">IF(A151="","",2*$K$37*(1/SQRT(3))+(0.0016%*ABS(A151)+0.000001450377377))</f>
        <v/>
      </c>
      <c r="F151" s="198" t="str">
        <f t="shared" ref="F151:F170" si="39">IF(A151="","",ROUND(((A151+S151)-(A151-S151))/(2*E151),1)&amp;":1")</f>
        <v/>
      </c>
      <c r="G151" s="198" t="str">
        <f t="shared" ref="G151:G170" si="40">IF($K$36="","",$K$36)</f>
        <v/>
      </c>
      <c r="H151" s="297" t="str">
        <f t="shared" si="37"/>
        <v/>
      </c>
      <c r="I151" s="298"/>
      <c r="J151" s="408">
        <f t="shared" ref="J151:J170" si="41">IF(X151&lt;4,Y151,S151)</f>
        <v>0</v>
      </c>
      <c r="K151" s="409"/>
      <c r="L151" s="209" t="str">
        <f t="shared" ref="L151:L170" si="42">IF(AD151="","",IF(AD151&lt;2%,"&lt; 2%", "&gt; 2%"))</f>
        <v/>
      </c>
      <c r="M151" s="205" t="str">
        <f t="shared" ref="M151:M170" si="43">IF(H151="","",IF(ABS(H151+E151)&lt;ABS(J151),"Pass",IF(ABS(H151-E151)&gt;ABS(J151),"Fail",IF(AND(ABS(H151+E151)&gt;ABS(J151),ABS(H151-E151)&lt;ABS(J151)),"-",""))))</f>
        <v/>
      </c>
      <c r="P151" s="210">
        <f t="shared" ref="P151:P170" si="44">IF(X151&lt;4,-Y151,-S151)</f>
        <v>0</v>
      </c>
      <c r="Q151" s="210">
        <f t="shared" ref="Q151:Q170" si="45">IF(X151&lt;4,Y151,S151)</f>
        <v>0</v>
      </c>
      <c r="S151" s="207"/>
      <c r="T151" s="184" t="str">
        <f t="shared" ref="T151:T170" si="46">IF(S151="","",95%)</f>
        <v/>
      </c>
      <c r="U151" s="232" t="str">
        <f t="shared" ref="U151:U170" si="47">IF(S151="","",E151)</f>
        <v/>
      </c>
      <c r="V151" s="208" t="str">
        <f t="shared" ref="V151:V170" si="48">IF(S151="","",_xlfn.NORM.S.INV((1+T151)/2))</f>
        <v/>
      </c>
      <c r="W151" s="232" t="str">
        <f t="shared" ref="W151:W170" si="49">IF(S151="","",SQRT((S151/V151)^2-U151^2))</f>
        <v/>
      </c>
      <c r="X151" s="198" t="str">
        <f t="shared" ref="X151:X170" si="50">IF(S151="","",ROUND(((A151+S151)-(A151-S151))/(2*E151),1))</f>
        <v/>
      </c>
      <c r="Y151" s="206">
        <f t="shared" ref="Y151:Y170" si="51">IF(X151&gt;=4,S151,S151-U151*(1.04-EXP(0.38*LN(X151)-0.54)))</f>
        <v>0</v>
      </c>
      <c r="Z151" s="208" t="str">
        <f t="shared" ref="Z151:Z170" si="52">IF(S151="","",SQRT(W151^2+U151^2))</f>
        <v/>
      </c>
      <c r="AA151" s="208" t="str">
        <f t="shared" ref="AA151:AA170" si="53">IF(S151="","",S151/W151)</f>
        <v/>
      </c>
      <c r="AB151" s="198" t="str">
        <f t="shared" ref="AB151:AB170" si="54">IF(S151="","",Y151/Z151)</f>
        <v/>
      </c>
      <c r="AC151" s="198" t="str">
        <f t="shared" ref="AC151:AC170" si="55">IF(S151="","",W151/Z151)</f>
        <v/>
      </c>
      <c r="AD151" s="184" t="str">
        <f>IF(S151="","",2*(BIVAR((-AA151),AB151,AC151)-BIVAR(-AA151,-AB151,AC151)))</f>
        <v/>
      </c>
      <c r="AE151" s="185" t="str">
        <f>IF(S151="","",2*(BIVAR(AA151,-AB151,AC151)-BIVAR(-AA151,-AB151,AC151)))</f>
        <v/>
      </c>
    </row>
    <row r="152" spans="1:31" ht="15.75" customHeight="1" x14ac:dyDescent="0.25">
      <c r="A152" s="300"/>
      <c r="B152" s="298"/>
      <c r="C152" s="297"/>
      <c r="D152" s="298"/>
      <c r="E152" s="208" t="str">
        <f t="shared" si="38"/>
        <v/>
      </c>
      <c r="F152" s="198" t="str">
        <f t="shared" si="39"/>
        <v/>
      </c>
      <c r="G152" s="198" t="str">
        <f t="shared" si="40"/>
        <v/>
      </c>
      <c r="H152" s="297" t="str">
        <f t="shared" si="37"/>
        <v/>
      </c>
      <c r="I152" s="298"/>
      <c r="J152" s="408">
        <f t="shared" si="41"/>
        <v>0</v>
      </c>
      <c r="K152" s="409"/>
      <c r="L152" s="209" t="str">
        <f t="shared" si="42"/>
        <v/>
      </c>
      <c r="M152" s="205" t="str">
        <f t="shared" si="43"/>
        <v/>
      </c>
      <c r="P152" s="210">
        <f t="shared" si="44"/>
        <v>0</v>
      </c>
      <c r="Q152" s="210">
        <f t="shared" si="45"/>
        <v>0</v>
      </c>
      <c r="S152" s="207"/>
      <c r="T152" s="184" t="str">
        <f t="shared" si="46"/>
        <v/>
      </c>
      <c r="U152" s="232" t="str">
        <f t="shared" si="47"/>
        <v/>
      </c>
      <c r="V152" s="208" t="str">
        <f t="shared" si="48"/>
        <v/>
      </c>
      <c r="W152" s="232" t="str">
        <f t="shared" si="49"/>
        <v/>
      </c>
      <c r="X152" s="198" t="str">
        <f t="shared" si="50"/>
        <v/>
      </c>
      <c r="Y152" s="206">
        <f t="shared" si="51"/>
        <v>0</v>
      </c>
      <c r="Z152" s="208" t="str">
        <f t="shared" si="52"/>
        <v/>
      </c>
      <c r="AA152" s="208" t="str">
        <f t="shared" si="53"/>
        <v/>
      </c>
      <c r="AB152" s="198" t="str">
        <f t="shared" si="54"/>
        <v/>
      </c>
      <c r="AC152" s="198" t="str">
        <f t="shared" si="55"/>
        <v/>
      </c>
      <c r="AD152" s="184" t="str">
        <f>IF(S152="","",2*(BIVAR((-AA152),AB152,AC152)-BIVAR(-AA152,-AB152,AC152)))</f>
        <v/>
      </c>
      <c r="AE152" s="185" t="str">
        <f>IF(S152="","",2*(BIVAR(AA152,-AB152,AC152)-BIVAR(-AA152,-AB152,AC152)))</f>
        <v/>
      </c>
    </row>
    <row r="153" spans="1:31" ht="15.75" customHeight="1" x14ac:dyDescent="0.25">
      <c r="A153" s="300"/>
      <c r="B153" s="298"/>
      <c r="C153" s="297"/>
      <c r="D153" s="298"/>
      <c r="E153" s="208" t="str">
        <f t="shared" si="38"/>
        <v/>
      </c>
      <c r="F153" s="198" t="str">
        <f t="shared" si="39"/>
        <v/>
      </c>
      <c r="G153" s="198" t="str">
        <f t="shared" si="40"/>
        <v/>
      </c>
      <c r="H153" s="297" t="str">
        <f t="shared" si="37"/>
        <v/>
      </c>
      <c r="I153" s="298"/>
      <c r="J153" s="408">
        <f t="shared" si="41"/>
        <v>0</v>
      </c>
      <c r="K153" s="409"/>
      <c r="L153" s="209" t="str">
        <f t="shared" si="42"/>
        <v/>
      </c>
      <c r="M153" s="205" t="str">
        <f t="shared" si="43"/>
        <v/>
      </c>
      <c r="P153" s="210">
        <f t="shared" si="44"/>
        <v>0</v>
      </c>
      <c r="Q153" s="210">
        <f t="shared" si="45"/>
        <v>0</v>
      </c>
      <c r="S153" s="207"/>
      <c r="T153" s="184" t="str">
        <f t="shared" si="46"/>
        <v/>
      </c>
      <c r="U153" s="232" t="str">
        <f t="shared" si="47"/>
        <v/>
      </c>
      <c r="V153" s="208" t="str">
        <f t="shared" si="48"/>
        <v/>
      </c>
      <c r="W153" s="232" t="str">
        <f t="shared" si="49"/>
        <v/>
      </c>
      <c r="X153" s="198" t="str">
        <f t="shared" si="50"/>
        <v/>
      </c>
      <c r="Y153" s="206">
        <f t="shared" si="51"/>
        <v>0</v>
      </c>
      <c r="Z153" s="208" t="str">
        <f t="shared" si="52"/>
        <v/>
      </c>
      <c r="AA153" s="208" t="str">
        <f t="shared" si="53"/>
        <v/>
      </c>
      <c r="AB153" s="198" t="str">
        <f t="shared" si="54"/>
        <v/>
      </c>
      <c r="AC153" s="198" t="str">
        <f t="shared" si="55"/>
        <v/>
      </c>
      <c r="AD153" s="184" t="str">
        <f>IF(S153="","",2*(BIVAR((-AA153),AB153,AC153)-BIVAR(-AA153,-AB153,AC153)))</f>
        <v/>
      </c>
      <c r="AE153" s="185" t="str">
        <f>IF(S153="","",2*(BIVAR(AA153,-AB153,AC153)-BIVAR(-AA153,-AB153,AC153)))</f>
        <v/>
      </c>
    </row>
    <row r="154" spans="1:31" ht="15.75" customHeight="1" x14ac:dyDescent="0.25">
      <c r="A154" s="300"/>
      <c r="B154" s="298"/>
      <c r="C154" s="297"/>
      <c r="D154" s="298"/>
      <c r="E154" s="208" t="str">
        <f t="shared" si="38"/>
        <v/>
      </c>
      <c r="F154" s="198" t="str">
        <f t="shared" si="39"/>
        <v/>
      </c>
      <c r="G154" s="198" t="str">
        <f t="shared" si="40"/>
        <v/>
      </c>
      <c r="H154" s="297" t="str">
        <f t="shared" si="37"/>
        <v/>
      </c>
      <c r="I154" s="298"/>
      <c r="J154" s="408">
        <f t="shared" si="41"/>
        <v>0</v>
      </c>
      <c r="K154" s="409"/>
      <c r="L154" s="209" t="str">
        <f t="shared" si="42"/>
        <v/>
      </c>
      <c r="M154" s="205" t="str">
        <f t="shared" si="43"/>
        <v/>
      </c>
      <c r="P154" s="210">
        <f t="shared" si="44"/>
        <v>0</v>
      </c>
      <c r="Q154" s="210">
        <f t="shared" si="45"/>
        <v>0</v>
      </c>
      <c r="S154" s="207"/>
      <c r="T154" s="184" t="str">
        <f t="shared" si="46"/>
        <v/>
      </c>
      <c r="U154" s="232" t="str">
        <f t="shared" si="47"/>
        <v/>
      </c>
      <c r="V154" s="208" t="str">
        <f t="shared" si="48"/>
        <v/>
      </c>
      <c r="W154" s="232" t="str">
        <f t="shared" si="49"/>
        <v/>
      </c>
      <c r="X154" s="198" t="str">
        <f t="shared" si="50"/>
        <v/>
      </c>
      <c r="Y154" s="206">
        <f t="shared" si="51"/>
        <v>0</v>
      </c>
      <c r="Z154" s="208" t="str">
        <f t="shared" si="52"/>
        <v/>
      </c>
      <c r="AA154" s="208" t="str">
        <f t="shared" si="53"/>
        <v/>
      </c>
      <c r="AB154" s="198" t="str">
        <f t="shared" si="54"/>
        <v/>
      </c>
      <c r="AC154" s="198" t="str">
        <f t="shared" si="55"/>
        <v/>
      </c>
      <c r="AD154" s="184" t="str">
        <f>IF(S154="","",2*(BIVAR((-AA154),AB154,AC154)-BIVAR(-AA154,-AB154,AC154)))</f>
        <v/>
      </c>
      <c r="AE154" s="185" t="str">
        <f>IF(S154="","",2*(BIVAR(AA154,-AB154,AC154)-BIVAR(-AA154,-AB154,AC154)))</f>
        <v/>
      </c>
    </row>
    <row r="155" spans="1:31" ht="15.75" customHeight="1" x14ac:dyDescent="0.25">
      <c r="A155" s="300"/>
      <c r="B155" s="298"/>
      <c r="C155" s="297"/>
      <c r="D155" s="298"/>
      <c r="E155" s="208" t="str">
        <f t="shared" si="38"/>
        <v/>
      </c>
      <c r="F155" s="198" t="str">
        <f t="shared" si="39"/>
        <v/>
      </c>
      <c r="G155" s="198" t="str">
        <f t="shared" si="40"/>
        <v/>
      </c>
      <c r="H155" s="297" t="str">
        <f t="shared" si="37"/>
        <v/>
      </c>
      <c r="I155" s="298"/>
      <c r="J155" s="408">
        <f t="shared" si="41"/>
        <v>0</v>
      </c>
      <c r="K155" s="409"/>
      <c r="L155" s="209" t="str">
        <f t="shared" si="42"/>
        <v/>
      </c>
      <c r="M155" s="205" t="str">
        <f t="shared" si="43"/>
        <v/>
      </c>
      <c r="P155" s="210">
        <f t="shared" si="44"/>
        <v>0</v>
      </c>
      <c r="Q155" s="210">
        <f t="shared" si="45"/>
        <v>0</v>
      </c>
      <c r="S155" s="207"/>
      <c r="T155" s="184" t="str">
        <f t="shared" si="46"/>
        <v/>
      </c>
      <c r="U155" s="232" t="str">
        <f t="shared" si="47"/>
        <v/>
      </c>
      <c r="V155" s="208" t="str">
        <f t="shared" si="48"/>
        <v/>
      </c>
      <c r="W155" s="232" t="str">
        <f t="shared" si="49"/>
        <v/>
      </c>
      <c r="X155" s="198" t="str">
        <f t="shared" si="50"/>
        <v/>
      </c>
      <c r="Y155" s="206">
        <f t="shared" si="51"/>
        <v>0</v>
      </c>
      <c r="Z155" s="208" t="str">
        <f t="shared" si="52"/>
        <v/>
      </c>
      <c r="AA155" s="208" t="str">
        <f t="shared" si="53"/>
        <v/>
      </c>
      <c r="AB155" s="198" t="str">
        <f t="shared" si="54"/>
        <v/>
      </c>
      <c r="AC155" s="198" t="str">
        <f t="shared" si="55"/>
        <v/>
      </c>
      <c r="AD155" s="184" t="str">
        <f>IF(S155="","",2*(BIVAR((-AA155),AB155,AC155)-BIVAR(-AA155,-AB155,AC155)))</f>
        <v/>
      </c>
      <c r="AE155" s="185" t="str">
        <f>IF(S155="","",2*(BIVAR(AA155,-AB155,AC155)-BIVAR(-AA155,-AB155,AC155)))</f>
        <v/>
      </c>
    </row>
    <row r="156" spans="1:31" ht="15.75" customHeight="1" x14ac:dyDescent="0.25">
      <c r="A156" s="300"/>
      <c r="B156" s="298"/>
      <c r="C156" s="297"/>
      <c r="D156" s="298"/>
      <c r="E156" s="208" t="str">
        <f t="shared" si="38"/>
        <v/>
      </c>
      <c r="F156" s="198" t="str">
        <f t="shared" si="39"/>
        <v/>
      </c>
      <c r="G156" s="198" t="str">
        <f t="shared" si="40"/>
        <v/>
      </c>
      <c r="H156" s="297" t="str">
        <f t="shared" si="37"/>
        <v/>
      </c>
      <c r="I156" s="298"/>
      <c r="J156" s="408">
        <f t="shared" si="41"/>
        <v>0</v>
      </c>
      <c r="K156" s="409"/>
      <c r="L156" s="209" t="str">
        <f t="shared" si="42"/>
        <v/>
      </c>
      <c r="M156" s="205" t="str">
        <f t="shared" si="43"/>
        <v/>
      </c>
      <c r="P156" s="210">
        <f t="shared" si="44"/>
        <v>0</v>
      </c>
      <c r="Q156" s="210">
        <f t="shared" si="45"/>
        <v>0</v>
      </c>
      <c r="S156" s="207"/>
      <c r="T156" s="184" t="str">
        <f t="shared" si="46"/>
        <v/>
      </c>
      <c r="U156" s="232" t="str">
        <f t="shared" si="47"/>
        <v/>
      </c>
      <c r="V156" s="208" t="str">
        <f t="shared" si="48"/>
        <v/>
      </c>
      <c r="W156" s="232" t="str">
        <f t="shared" si="49"/>
        <v/>
      </c>
      <c r="X156" s="198" t="str">
        <f t="shared" si="50"/>
        <v/>
      </c>
      <c r="Y156" s="206">
        <f t="shared" si="51"/>
        <v>0</v>
      </c>
      <c r="Z156" s="208" t="str">
        <f t="shared" si="52"/>
        <v/>
      </c>
      <c r="AA156" s="208" t="str">
        <f t="shared" si="53"/>
        <v/>
      </c>
      <c r="AB156" s="198" t="str">
        <f t="shared" si="54"/>
        <v/>
      </c>
      <c r="AC156" s="198" t="str">
        <f t="shared" si="55"/>
        <v/>
      </c>
      <c r="AD156" s="184" t="str">
        <f>IF(S156="","",2*(BIVAR((-AA156),AB156,AC156)-BIVAR(-AA156,-AB156,AC156)))</f>
        <v/>
      </c>
      <c r="AE156" s="185" t="str">
        <f>IF(S156="","",2*(BIVAR(AA156,-AB156,AC156)-BIVAR(-AA156,-AB156,AC156)))</f>
        <v/>
      </c>
    </row>
    <row r="157" spans="1:31" ht="15.75" customHeight="1" x14ac:dyDescent="0.25">
      <c r="A157" s="300"/>
      <c r="B157" s="298"/>
      <c r="C157" s="297"/>
      <c r="D157" s="298"/>
      <c r="E157" s="208" t="str">
        <f t="shared" si="38"/>
        <v/>
      </c>
      <c r="F157" s="198" t="str">
        <f t="shared" si="39"/>
        <v/>
      </c>
      <c r="G157" s="198" t="str">
        <f t="shared" si="40"/>
        <v/>
      </c>
      <c r="H157" s="297" t="str">
        <f t="shared" si="37"/>
        <v/>
      </c>
      <c r="I157" s="298"/>
      <c r="J157" s="408">
        <f t="shared" si="41"/>
        <v>0</v>
      </c>
      <c r="K157" s="409"/>
      <c r="L157" s="209" t="str">
        <f t="shared" si="42"/>
        <v/>
      </c>
      <c r="M157" s="205" t="str">
        <f t="shared" si="43"/>
        <v/>
      </c>
      <c r="P157" s="210">
        <f t="shared" si="44"/>
        <v>0</v>
      </c>
      <c r="Q157" s="210">
        <f t="shared" si="45"/>
        <v>0</v>
      </c>
      <c r="S157" s="207"/>
      <c r="T157" s="184" t="str">
        <f t="shared" si="46"/>
        <v/>
      </c>
      <c r="U157" s="232" t="str">
        <f t="shared" si="47"/>
        <v/>
      </c>
      <c r="V157" s="208" t="str">
        <f t="shared" si="48"/>
        <v/>
      </c>
      <c r="W157" s="232" t="str">
        <f t="shared" si="49"/>
        <v/>
      </c>
      <c r="X157" s="198" t="str">
        <f t="shared" si="50"/>
        <v/>
      </c>
      <c r="Y157" s="206">
        <f t="shared" si="51"/>
        <v>0</v>
      </c>
      <c r="Z157" s="208" t="str">
        <f t="shared" si="52"/>
        <v/>
      </c>
      <c r="AA157" s="208" t="str">
        <f t="shared" si="53"/>
        <v/>
      </c>
      <c r="AB157" s="198" t="str">
        <f t="shared" si="54"/>
        <v/>
      </c>
      <c r="AC157" s="198" t="str">
        <f t="shared" si="55"/>
        <v/>
      </c>
      <c r="AD157" s="184" t="str">
        <f>IF(S157="","",2*(BIVAR((-AA157),AB157,AC157)-BIVAR(-AA157,-AB157,AC157)))</f>
        <v/>
      </c>
      <c r="AE157" s="185" t="str">
        <f>IF(S157="","",2*(BIVAR(AA157,-AB157,AC157)-BIVAR(-AA157,-AB157,AC157)))</f>
        <v/>
      </c>
    </row>
    <row r="158" spans="1:31" ht="15.75" customHeight="1" x14ac:dyDescent="0.25">
      <c r="A158" s="300"/>
      <c r="B158" s="298"/>
      <c r="C158" s="297"/>
      <c r="D158" s="298"/>
      <c r="E158" s="208" t="str">
        <f t="shared" si="38"/>
        <v/>
      </c>
      <c r="F158" s="198" t="str">
        <f t="shared" si="39"/>
        <v/>
      </c>
      <c r="G158" s="198" t="str">
        <f t="shared" si="40"/>
        <v/>
      </c>
      <c r="H158" s="297" t="str">
        <f t="shared" si="37"/>
        <v/>
      </c>
      <c r="I158" s="298"/>
      <c r="J158" s="408">
        <f t="shared" si="41"/>
        <v>0</v>
      </c>
      <c r="K158" s="409"/>
      <c r="L158" s="209" t="str">
        <f t="shared" si="42"/>
        <v/>
      </c>
      <c r="M158" s="205" t="str">
        <f t="shared" si="43"/>
        <v/>
      </c>
      <c r="P158" s="210">
        <f t="shared" si="44"/>
        <v>0</v>
      </c>
      <c r="Q158" s="210">
        <f t="shared" si="45"/>
        <v>0</v>
      </c>
      <c r="S158" s="207"/>
      <c r="T158" s="184" t="str">
        <f t="shared" si="46"/>
        <v/>
      </c>
      <c r="U158" s="232" t="str">
        <f t="shared" si="47"/>
        <v/>
      </c>
      <c r="V158" s="208" t="str">
        <f t="shared" si="48"/>
        <v/>
      </c>
      <c r="W158" s="232" t="str">
        <f t="shared" si="49"/>
        <v/>
      </c>
      <c r="X158" s="198" t="str">
        <f t="shared" si="50"/>
        <v/>
      </c>
      <c r="Y158" s="206">
        <f t="shared" si="51"/>
        <v>0</v>
      </c>
      <c r="Z158" s="208" t="str">
        <f t="shared" si="52"/>
        <v/>
      </c>
      <c r="AA158" s="208" t="str">
        <f t="shared" si="53"/>
        <v/>
      </c>
      <c r="AB158" s="198" t="str">
        <f t="shared" si="54"/>
        <v/>
      </c>
      <c r="AC158" s="198" t="str">
        <f t="shared" si="55"/>
        <v/>
      </c>
      <c r="AD158" s="184" t="str">
        <f>IF(S158="","",2*(BIVAR((-AA158),AB158,AC158)-BIVAR(-AA158,-AB158,AC158)))</f>
        <v/>
      </c>
      <c r="AE158" s="185" t="str">
        <f>IF(S158="","",2*(BIVAR(AA158,-AB158,AC158)-BIVAR(-AA158,-AB158,AC158)))</f>
        <v/>
      </c>
    </row>
    <row r="159" spans="1:31" ht="15.75" customHeight="1" x14ac:dyDescent="0.25">
      <c r="A159" s="300"/>
      <c r="B159" s="298"/>
      <c r="C159" s="297"/>
      <c r="D159" s="298"/>
      <c r="E159" s="208" t="str">
        <f t="shared" si="38"/>
        <v/>
      </c>
      <c r="F159" s="198" t="str">
        <f t="shared" si="39"/>
        <v/>
      </c>
      <c r="G159" s="198" t="str">
        <f t="shared" si="40"/>
        <v/>
      </c>
      <c r="H159" s="297" t="str">
        <f t="shared" si="37"/>
        <v/>
      </c>
      <c r="I159" s="298"/>
      <c r="J159" s="408">
        <f t="shared" si="41"/>
        <v>0</v>
      </c>
      <c r="K159" s="409"/>
      <c r="L159" s="209" t="str">
        <f t="shared" si="42"/>
        <v/>
      </c>
      <c r="M159" s="205" t="str">
        <f t="shared" si="43"/>
        <v/>
      </c>
      <c r="P159" s="210">
        <f t="shared" si="44"/>
        <v>0</v>
      </c>
      <c r="Q159" s="210">
        <f t="shared" si="45"/>
        <v>0</v>
      </c>
      <c r="S159" s="207"/>
      <c r="T159" s="184" t="str">
        <f t="shared" si="46"/>
        <v/>
      </c>
      <c r="U159" s="232" t="str">
        <f t="shared" si="47"/>
        <v/>
      </c>
      <c r="V159" s="208" t="str">
        <f t="shared" si="48"/>
        <v/>
      </c>
      <c r="W159" s="232" t="str">
        <f t="shared" si="49"/>
        <v/>
      </c>
      <c r="X159" s="198" t="str">
        <f t="shared" si="50"/>
        <v/>
      </c>
      <c r="Y159" s="206">
        <f t="shared" si="51"/>
        <v>0</v>
      </c>
      <c r="Z159" s="208" t="str">
        <f t="shared" si="52"/>
        <v/>
      </c>
      <c r="AA159" s="208" t="str">
        <f t="shared" si="53"/>
        <v/>
      </c>
      <c r="AB159" s="198" t="str">
        <f t="shared" si="54"/>
        <v/>
      </c>
      <c r="AC159" s="198" t="str">
        <f t="shared" si="55"/>
        <v/>
      </c>
      <c r="AD159" s="184" t="str">
        <f>IF(S159="","",2*(BIVAR((-AA159),AB159,AC159)-BIVAR(-AA159,-AB159,AC159)))</f>
        <v/>
      </c>
      <c r="AE159" s="185" t="str">
        <f>IF(S159="","",2*(BIVAR(AA159,-AB159,AC159)-BIVAR(-AA159,-AB159,AC159)))</f>
        <v/>
      </c>
    </row>
    <row r="160" spans="1:31" ht="15.75" customHeight="1" x14ac:dyDescent="0.25">
      <c r="A160" s="300"/>
      <c r="B160" s="298"/>
      <c r="C160" s="297"/>
      <c r="D160" s="298"/>
      <c r="E160" s="208" t="str">
        <f t="shared" si="38"/>
        <v/>
      </c>
      <c r="F160" s="198" t="str">
        <f t="shared" si="39"/>
        <v/>
      </c>
      <c r="G160" s="198" t="str">
        <f t="shared" si="40"/>
        <v/>
      </c>
      <c r="H160" s="297" t="str">
        <f t="shared" si="37"/>
        <v/>
      </c>
      <c r="I160" s="298"/>
      <c r="J160" s="408">
        <f t="shared" si="41"/>
        <v>0</v>
      </c>
      <c r="K160" s="409"/>
      <c r="L160" s="209" t="str">
        <f t="shared" si="42"/>
        <v/>
      </c>
      <c r="M160" s="205" t="str">
        <f t="shared" si="43"/>
        <v/>
      </c>
      <c r="P160" s="210">
        <f t="shared" si="44"/>
        <v>0</v>
      </c>
      <c r="Q160" s="210">
        <f t="shared" si="45"/>
        <v>0</v>
      </c>
      <c r="S160" s="207"/>
      <c r="T160" s="184" t="str">
        <f t="shared" si="46"/>
        <v/>
      </c>
      <c r="U160" s="232" t="str">
        <f t="shared" si="47"/>
        <v/>
      </c>
      <c r="V160" s="208" t="str">
        <f t="shared" si="48"/>
        <v/>
      </c>
      <c r="W160" s="232" t="str">
        <f t="shared" si="49"/>
        <v/>
      </c>
      <c r="X160" s="198" t="str">
        <f t="shared" si="50"/>
        <v/>
      </c>
      <c r="Y160" s="206">
        <f t="shared" si="51"/>
        <v>0</v>
      </c>
      <c r="Z160" s="208" t="str">
        <f t="shared" si="52"/>
        <v/>
      </c>
      <c r="AA160" s="208" t="str">
        <f t="shared" si="53"/>
        <v/>
      </c>
      <c r="AB160" s="198" t="str">
        <f t="shared" si="54"/>
        <v/>
      </c>
      <c r="AC160" s="198" t="str">
        <f t="shared" si="55"/>
        <v/>
      </c>
      <c r="AD160" s="184" t="str">
        <f>IF(S160="","",2*(BIVAR((-AA160),AB160,AC160)-BIVAR(-AA160,-AB160,AC160)))</f>
        <v/>
      </c>
      <c r="AE160" s="185" t="str">
        <f>IF(S160="","",2*(BIVAR(AA160,-AB160,AC160)-BIVAR(-AA160,-AB160,AC160)))</f>
        <v/>
      </c>
    </row>
    <row r="161" spans="1:31" ht="15.75" customHeight="1" x14ac:dyDescent="0.25">
      <c r="A161" s="300"/>
      <c r="B161" s="298"/>
      <c r="C161" s="297"/>
      <c r="D161" s="298"/>
      <c r="E161" s="208" t="str">
        <f t="shared" si="38"/>
        <v/>
      </c>
      <c r="F161" s="198" t="str">
        <f t="shared" si="39"/>
        <v/>
      </c>
      <c r="G161" s="198" t="str">
        <f t="shared" si="40"/>
        <v/>
      </c>
      <c r="H161" s="297" t="str">
        <f t="shared" si="37"/>
        <v/>
      </c>
      <c r="I161" s="298"/>
      <c r="J161" s="408">
        <f t="shared" si="41"/>
        <v>0</v>
      </c>
      <c r="K161" s="409"/>
      <c r="L161" s="209" t="str">
        <f t="shared" si="42"/>
        <v/>
      </c>
      <c r="M161" s="205" t="str">
        <f t="shared" si="43"/>
        <v/>
      </c>
      <c r="P161" s="210">
        <f t="shared" si="44"/>
        <v>0</v>
      </c>
      <c r="Q161" s="210">
        <f t="shared" si="45"/>
        <v>0</v>
      </c>
      <c r="S161" s="207"/>
      <c r="T161" s="184" t="str">
        <f t="shared" si="46"/>
        <v/>
      </c>
      <c r="U161" s="232" t="str">
        <f t="shared" si="47"/>
        <v/>
      </c>
      <c r="V161" s="208" t="str">
        <f t="shared" si="48"/>
        <v/>
      </c>
      <c r="W161" s="232" t="str">
        <f t="shared" si="49"/>
        <v/>
      </c>
      <c r="X161" s="198" t="str">
        <f t="shared" si="50"/>
        <v/>
      </c>
      <c r="Y161" s="206">
        <f t="shared" si="51"/>
        <v>0</v>
      </c>
      <c r="Z161" s="208" t="str">
        <f t="shared" si="52"/>
        <v/>
      </c>
      <c r="AA161" s="208" t="str">
        <f t="shared" si="53"/>
        <v/>
      </c>
      <c r="AB161" s="198" t="str">
        <f t="shared" si="54"/>
        <v/>
      </c>
      <c r="AC161" s="198" t="str">
        <f t="shared" si="55"/>
        <v/>
      </c>
      <c r="AD161" s="184" t="str">
        <f>IF(S161="","",2*(BIVAR((-AA161),AB161,AC161)-BIVAR(-AA161,-AB161,AC161)))</f>
        <v/>
      </c>
      <c r="AE161" s="185" t="str">
        <f>IF(S161="","",2*(BIVAR(AA161,-AB161,AC161)-BIVAR(-AA161,-AB161,AC161)))</f>
        <v/>
      </c>
    </row>
    <row r="162" spans="1:31" ht="15.75" customHeight="1" x14ac:dyDescent="0.25">
      <c r="A162" s="300"/>
      <c r="B162" s="298"/>
      <c r="C162" s="297"/>
      <c r="D162" s="298"/>
      <c r="E162" s="208" t="str">
        <f t="shared" si="38"/>
        <v/>
      </c>
      <c r="F162" s="198" t="str">
        <f t="shared" si="39"/>
        <v/>
      </c>
      <c r="G162" s="198" t="str">
        <f t="shared" si="40"/>
        <v/>
      </c>
      <c r="H162" s="297" t="str">
        <f t="shared" si="37"/>
        <v/>
      </c>
      <c r="I162" s="298"/>
      <c r="J162" s="408">
        <f t="shared" si="41"/>
        <v>0</v>
      </c>
      <c r="K162" s="409"/>
      <c r="L162" s="209" t="str">
        <f t="shared" si="42"/>
        <v/>
      </c>
      <c r="M162" s="205" t="str">
        <f t="shared" si="43"/>
        <v/>
      </c>
      <c r="P162" s="210">
        <f t="shared" si="44"/>
        <v>0</v>
      </c>
      <c r="Q162" s="210">
        <f t="shared" si="45"/>
        <v>0</v>
      </c>
      <c r="S162" s="207"/>
      <c r="T162" s="184" t="str">
        <f t="shared" si="46"/>
        <v/>
      </c>
      <c r="U162" s="232" t="str">
        <f t="shared" si="47"/>
        <v/>
      </c>
      <c r="V162" s="208" t="str">
        <f t="shared" si="48"/>
        <v/>
      </c>
      <c r="W162" s="232" t="str">
        <f t="shared" si="49"/>
        <v/>
      </c>
      <c r="X162" s="198" t="str">
        <f t="shared" si="50"/>
        <v/>
      </c>
      <c r="Y162" s="206">
        <f t="shared" si="51"/>
        <v>0</v>
      </c>
      <c r="Z162" s="208" t="str">
        <f t="shared" si="52"/>
        <v/>
      </c>
      <c r="AA162" s="208" t="str">
        <f t="shared" si="53"/>
        <v/>
      </c>
      <c r="AB162" s="198" t="str">
        <f t="shared" si="54"/>
        <v/>
      </c>
      <c r="AC162" s="198" t="str">
        <f t="shared" si="55"/>
        <v/>
      </c>
      <c r="AD162" s="184" t="str">
        <f>IF(S162="","",2*(BIVAR((-AA162),AB162,AC162)-BIVAR(-AA162,-AB162,AC162)))</f>
        <v/>
      </c>
      <c r="AE162" s="185" t="str">
        <f>IF(S162="","",2*(BIVAR(AA162,-AB162,AC162)-BIVAR(-AA162,-AB162,AC162)))</f>
        <v/>
      </c>
    </row>
    <row r="163" spans="1:31" ht="15.75" customHeight="1" x14ac:dyDescent="0.25">
      <c r="A163" s="300"/>
      <c r="B163" s="298"/>
      <c r="C163" s="297"/>
      <c r="D163" s="298"/>
      <c r="E163" s="208" t="str">
        <f t="shared" si="38"/>
        <v/>
      </c>
      <c r="F163" s="198" t="str">
        <f t="shared" si="39"/>
        <v/>
      </c>
      <c r="G163" s="198" t="str">
        <f t="shared" si="40"/>
        <v/>
      </c>
      <c r="H163" s="297" t="str">
        <f t="shared" si="37"/>
        <v/>
      </c>
      <c r="I163" s="298"/>
      <c r="J163" s="408">
        <f t="shared" si="41"/>
        <v>0</v>
      </c>
      <c r="K163" s="409"/>
      <c r="L163" s="209" t="str">
        <f t="shared" si="42"/>
        <v/>
      </c>
      <c r="M163" s="205" t="str">
        <f t="shared" si="43"/>
        <v/>
      </c>
      <c r="P163" s="210">
        <f t="shared" si="44"/>
        <v>0</v>
      </c>
      <c r="Q163" s="210">
        <f t="shared" si="45"/>
        <v>0</v>
      </c>
      <c r="S163" s="207"/>
      <c r="T163" s="184" t="str">
        <f t="shared" si="46"/>
        <v/>
      </c>
      <c r="U163" s="232" t="str">
        <f t="shared" si="47"/>
        <v/>
      </c>
      <c r="V163" s="208" t="str">
        <f t="shared" si="48"/>
        <v/>
      </c>
      <c r="W163" s="232" t="str">
        <f t="shared" si="49"/>
        <v/>
      </c>
      <c r="X163" s="198" t="str">
        <f t="shared" si="50"/>
        <v/>
      </c>
      <c r="Y163" s="206">
        <f t="shared" si="51"/>
        <v>0</v>
      </c>
      <c r="Z163" s="208" t="str">
        <f t="shared" si="52"/>
        <v/>
      </c>
      <c r="AA163" s="208" t="str">
        <f t="shared" si="53"/>
        <v/>
      </c>
      <c r="AB163" s="198" t="str">
        <f t="shared" si="54"/>
        <v/>
      </c>
      <c r="AC163" s="198" t="str">
        <f t="shared" si="55"/>
        <v/>
      </c>
      <c r="AD163" s="184" t="str">
        <f>IF(S163="","",2*(BIVAR((-AA163),AB163,AC163)-BIVAR(-AA163,-AB163,AC163)))</f>
        <v/>
      </c>
      <c r="AE163" s="185" t="str">
        <f>IF(S163="","",2*(BIVAR(AA163,-AB163,AC163)-BIVAR(-AA163,-AB163,AC163)))</f>
        <v/>
      </c>
    </row>
    <row r="164" spans="1:31" ht="15.75" customHeight="1" x14ac:dyDescent="0.25">
      <c r="A164" s="300"/>
      <c r="B164" s="298"/>
      <c r="C164" s="297"/>
      <c r="D164" s="298"/>
      <c r="E164" s="208" t="str">
        <f t="shared" si="38"/>
        <v/>
      </c>
      <c r="F164" s="198" t="str">
        <f t="shared" si="39"/>
        <v/>
      </c>
      <c r="G164" s="198" t="str">
        <f t="shared" si="40"/>
        <v/>
      </c>
      <c r="H164" s="297" t="str">
        <f t="shared" si="37"/>
        <v/>
      </c>
      <c r="I164" s="298"/>
      <c r="J164" s="408">
        <f t="shared" si="41"/>
        <v>0</v>
      </c>
      <c r="K164" s="409"/>
      <c r="L164" s="209" t="str">
        <f t="shared" si="42"/>
        <v/>
      </c>
      <c r="M164" s="205" t="str">
        <f t="shared" si="43"/>
        <v/>
      </c>
      <c r="P164" s="210">
        <f t="shared" si="44"/>
        <v>0</v>
      </c>
      <c r="Q164" s="210">
        <f t="shared" si="45"/>
        <v>0</v>
      </c>
      <c r="S164" s="207"/>
      <c r="T164" s="184" t="str">
        <f t="shared" si="46"/>
        <v/>
      </c>
      <c r="U164" s="232" t="str">
        <f t="shared" si="47"/>
        <v/>
      </c>
      <c r="V164" s="208" t="str">
        <f t="shared" si="48"/>
        <v/>
      </c>
      <c r="W164" s="232" t="str">
        <f t="shared" si="49"/>
        <v/>
      </c>
      <c r="X164" s="198" t="str">
        <f t="shared" si="50"/>
        <v/>
      </c>
      <c r="Y164" s="206">
        <f t="shared" si="51"/>
        <v>0</v>
      </c>
      <c r="Z164" s="208" t="str">
        <f t="shared" si="52"/>
        <v/>
      </c>
      <c r="AA164" s="208" t="str">
        <f t="shared" si="53"/>
        <v/>
      </c>
      <c r="AB164" s="198" t="str">
        <f t="shared" si="54"/>
        <v/>
      </c>
      <c r="AC164" s="198" t="str">
        <f t="shared" si="55"/>
        <v/>
      </c>
      <c r="AD164" s="184" t="str">
        <f>IF(S164="","",2*(BIVAR((-AA164),AB164,AC164)-BIVAR(-AA164,-AB164,AC164)))</f>
        <v/>
      </c>
      <c r="AE164" s="185" t="str">
        <f>IF(S164="","",2*(BIVAR(AA164,-AB164,AC164)-BIVAR(-AA164,-AB164,AC164)))</f>
        <v/>
      </c>
    </row>
    <row r="165" spans="1:31" ht="15.75" customHeight="1" x14ac:dyDescent="0.25">
      <c r="A165" s="259"/>
      <c r="B165" s="247"/>
      <c r="C165" s="247"/>
      <c r="D165" s="247"/>
      <c r="E165" s="208" t="str">
        <f t="shared" si="38"/>
        <v/>
      </c>
      <c r="F165" s="198" t="str">
        <f t="shared" si="39"/>
        <v/>
      </c>
      <c r="G165" s="198" t="str">
        <f t="shared" si="40"/>
        <v/>
      </c>
      <c r="H165" s="297" t="str">
        <f t="shared" si="37"/>
        <v/>
      </c>
      <c r="I165" s="298"/>
      <c r="J165" s="408">
        <f t="shared" si="41"/>
        <v>0</v>
      </c>
      <c r="K165" s="409"/>
      <c r="L165" s="209" t="str">
        <f t="shared" si="42"/>
        <v/>
      </c>
      <c r="M165" s="205" t="str">
        <f t="shared" si="43"/>
        <v/>
      </c>
      <c r="P165" s="210">
        <f t="shared" si="44"/>
        <v>0</v>
      </c>
      <c r="Q165" s="210">
        <f t="shared" si="45"/>
        <v>0</v>
      </c>
      <c r="S165" s="207"/>
      <c r="T165" s="184" t="str">
        <f t="shared" si="46"/>
        <v/>
      </c>
      <c r="U165" s="232" t="str">
        <f t="shared" si="47"/>
        <v/>
      </c>
      <c r="V165" s="208" t="str">
        <f t="shared" si="48"/>
        <v/>
      </c>
      <c r="W165" s="232" t="str">
        <f t="shared" si="49"/>
        <v/>
      </c>
      <c r="X165" s="198" t="str">
        <f t="shared" si="50"/>
        <v/>
      </c>
      <c r="Y165" s="206">
        <f t="shared" si="51"/>
        <v>0</v>
      </c>
      <c r="Z165" s="208" t="str">
        <f t="shared" si="52"/>
        <v/>
      </c>
      <c r="AA165" s="208" t="str">
        <f t="shared" si="53"/>
        <v/>
      </c>
      <c r="AB165" s="198" t="str">
        <f t="shared" si="54"/>
        <v/>
      </c>
      <c r="AC165" s="198" t="str">
        <f t="shared" si="55"/>
        <v/>
      </c>
      <c r="AD165" s="184" t="str">
        <f>IF(S165="","",2*(BIVAR((-AA165),AB165,AC165)-BIVAR(-AA165,-AB165,AC165)))</f>
        <v/>
      </c>
      <c r="AE165" s="185" t="str">
        <f>IF(S165="","",2*(BIVAR(AA165,-AB165,AC165)-BIVAR(-AA165,-AB165,AC165)))</f>
        <v/>
      </c>
    </row>
    <row r="166" spans="1:31" ht="15.75" customHeight="1" x14ac:dyDescent="0.25">
      <c r="A166" s="259"/>
      <c r="B166" s="247"/>
      <c r="C166" s="247"/>
      <c r="D166" s="247"/>
      <c r="E166" s="208" t="str">
        <f t="shared" si="38"/>
        <v/>
      </c>
      <c r="F166" s="198" t="str">
        <f t="shared" si="39"/>
        <v/>
      </c>
      <c r="G166" s="198" t="str">
        <f t="shared" si="40"/>
        <v/>
      </c>
      <c r="H166" s="297" t="str">
        <f t="shared" si="37"/>
        <v/>
      </c>
      <c r="I166" s="298"/>
      <c r="J166" s="408">
        <f t="shared" si="41"/>
        <v>0</v>
      </c>
      <c r="K166" s="409"/>
      <c r="L166" s="209" t="str">
        <f t="shared" si="42"/>
        <v/>
      </c>
      <c r="M166" s="205" t="str">
        <f t="shared" si="43"/>
        <v/>
      </c>
      <c r="P166" s="210">
        <f t="shared" si="44"/>
        <v>0</v>
      </c>
      <c r="Q166" s="210">
        <f t="shared" si="45"/>
        <v>0</v>
      </c>
      <c r="S166" s="207"/>
      <c r="T166" s="184" t="str">
        <f t="shared" si="46"/>
        <v/>
      </c>
      <c r="U166" s="232" t="str">
        <f t="shared" si="47"/>
        <v/>
      </c>
      <c r="V166" s="208" t="str">
        <f t="shared" si="48"/>
        <v/>
      </c>
      <c r="W166" s="232" t="str">
        <f t="shared" si="49"/>
        <v/>
      </c>
      <c r="X166" s="198" t="str">
        <f t="shared" si="50"/>
        <v/>
      </c>
      <c r="Y166" s="206">
        <f t="shared" si="51"/>
        <v>0</v>
      </c>
      <c r="Z166" s="208" t="str">
        <f t="shared" si="52"/>
        <v/>
      </c>
      <c r="AA166" s="208" t="str">
        <f t="shared" si="53"/>
        <v/>
      </c>
      <c r="AB166" s="198" t="str">
        <f t="shared" si="54"/>
        <v/>
      </c>
      <c r="AC166" s="198" t="str">
        <f t="shared" si="55"/>
        <v/>
      </c>
      <c r="AD166" s="184" t="str">
        <f>IF(S166="","",2*(BIVAR((-AA166),AB166,AC166)-BIVAR(-AA166,-AB166,AC166)))</f>
        <v/>
      </c>
      <c r="AE166" s="185" t="str">
        <f>IF(S166="","",2*(BIVAR(AA166,-AB166,AC166)-BIVAR(-AA166,-AB166,AC166)))</f>
        <v/>
      </c>
    </row>
    <row r="167" spans="1:31" ht="15.75" customHeight="1" x14ac:dyDescent="0.25">
      <c r="A167" s="259"/>
      <c r="B167" s="247"/>
      <c r="C167" s="247"/>
      <c r="D167" s="247"/>
      <c r="E167" s="208" t="str">
        <f t="shared" si="38"/>
        <v/>
      </c>
      <c r="F167" s="198" t="str">
        <f t="shared" si="39"/>
        <v/>
      </c>
      <c r="G167" s="198" t="str">
        <f t="shared" si="40"/>
        <v/>
      </c>
      <c r="H167" s="297" t="str">
        <f t="shared" si="37"/>
        <v/>
      </c>
      <c r="I167" s="298"/>
      <c r="J167" s="408">
        <f t="shared" si="41"/>
        <v>0</v>
      </c>
      <c r="K167" s="409"/>
      <c r="L167" s="209" t="str">
        <f t="shared" si="42"/>
        <v/>
      </c>
      <c r="M167" s="205" t="str">
        <f t="shared" si="43"/>
        <v/>
      </c>
      <c r="P167" s="210">
        <f t="shared" si="44"/>
        <v>0</v>
      </c>
      <c r="Q167" s="210">
        <f t="shared" si="45"/>
        <v>0</v>
      </c>
      <c r="S167" s="207"/>
      <c r="T167" s="184" t="str">
        <f t="shared" si="46"/>
        <v/>
      </c>
      <c r="U167" s="232" t="str">
        <f t="shared" si="47"/>
        <v/>
      </c>
      <c r="V167" s="208" t="str">
        <f t="shared" si="48"/>
        <v/>
      </c>
      <c r="W167" s="232" t="str">
        <f t="shared" si="49"/>
        <v/>
      </c>
      <c r="X167" s="198" t="str">
        <f t="shared" si="50"/>
        <v/>
      </c>
      <c r="Y167" s="206">
        <f t="shared" si="51"/>
        <v>0</v>
      </c>
      <c r="Z167" s="208" t="str">
        <f t="shared" si="52"/>
        <v/>
      </c>
      <c r="AA167" s="208" t="str">
        <f t="shared" si="53"/>
        <v/>
      </c>
      <c r="AB167" s="198" t="str">
        <f t="shared" si="54"/>
        <v/>
      </c>
      <c r="AC167" s="198" t="str">
        <f t="shared" si="55"/>
        <v/>
      </c>
      <c r="AD167" s="184" t="str">
        <f>IF(S167="","",2*(BIVAR((-AA167),AB167,AC167)-BIVAR(-AA167,-AB167,AC167)))</f>
        <v/>
      </c>
      <c r="AE167" s="185" t="str">
        <f>IF(S167="","",2*(BIVAR(AA167,-AB167,AC167)-BIVAR(-AA167,-AB167,AC167)))</f>
        <v/>
      </c>
    </row>
    <row r="168" spans="1:31" ht="15.75" customHeight="1" x14ac:dyDescent="0.25">
      <c r="A168" s="259"/>
      <c r="B168" s="247"/>
      <c r="C168" s="247"/>
      <c r="D168" s="247"/>
      <c r="E168" s="208" t="str">
        <f t="shared" si="38"/>
        <v/>
      </c>
      <c r="F168" s="198" t="str">
        <f t="shared" si="39"/>
        <v/>
      </c>
      <c r="G168" s="198" t="str">
        <f t="shared" si="40"/>
        <v/>
      </c>
      <c r="H168" s="297" t="str">
        <f t="shared" si="37"/>
        <v/>
      </c>
      <c r="I168" s="298"/>
      <c r="J168" s="408">
        <f t="shared" si="41"/>
        <v>0</v>
      </c>
      <c r="K168" s="409"/>
      <c r="L168" s="209" t="str">
        <f t="shared" si="42"/>
        <v/>
      </c>
      <c r="M168" s="205" t="str">
        <f t="shared" si="43"/>
        <v/>
      </c>
      <c r="P168" s="210">
        <f t="shared" si="44"/>
        <v>0</v>
      </c>
      <c r="Q168" s="210">
        <f t="shared" si="45"/>
        <v>0</v>
      </c>
      <c r="S168" s="207"/>
      <c r="T168" s="184" t="str">
        <f t="shared" si="46"/>
        <v/>
      </c>
      <c r="U168" s="232" t="str">
        <f t="shared" si="47"/>
        <v/>
      </c>
      <c r="V168" s="208" t="str">
        <f t="shared" si="48"/>
        <v/>
      </c>
      <c r="W168" s="232" t="str">
        <f t="shared" si="49"/>
        <v/>
      </c>
      <c r="X168" s="198" t="str">
        <f t="shared" si="50"/>
        <v/>
      </c>
      <c r="Y168" s="206">
        <f t="shared" si="51"/>
        <v>0</v>
      </c>
      <c r="Z168" s="208" t="str">
        <f t="shared" si="52"/>
        <v/>
      </c>
      <c r="AA168" s="208" t="str">
        <f t="shared" si="53"/>
        <v/>
      </c>
      <c r="AB168" s="198" t="str">
        <f t="shared" si="54"/>
        <v/>
      </c>
      <c r="AC168" s="198" t="str">
        <f t="shared" si="55"/>
        <v/>
      </c>
      <c r="AD168" s="184" t="str">
        <f>IF(S168="","",2*(BIVAR((-AA168),AB168,AC168)-BIVAR(-AA168,-AB168,AC168)))</f>
        <v/>
      </c>
      <c r="AE168" s="185" t="str">
        <f>IF(S168="","",2*(BIVAR(AA168,-AB168,AC168)-BIVAR(-AA168,-AB168,AC168)))</f>
        <v/>
      </c>
    </row>
    <row r="169" spans="1:31" ht="15.75" customHeight="1" x14ac:dyDescent="0.25">
      <c r="A169" s="259"/>
      <c r="B169" s="247"/>
      <c r="C169" s="247"/>
      <c r="D169" s="247"/>
      <c r="E169" s="208" t="str">
        <f t="shared" si="38"/>
        <v/>
      </c>
      <c r="F169" s="198" t="str">
        <f t="shared" si="39"/>
        <v/>
      </c>
      <c r="G169" s="198" t="str">
        <f t="shared" si="40"/>
        <v/>
      </c>
      <c r="H169" s="297" t="str">
        <f t="shared" si="37"/>
        <v/>
      </c>
      <c r="I169" s="298"/>
      <c r="J169" s="408">
        <f t="shared" si="41"/>
        <v>0</v>
      </c>
      <c r="K169" s="409"/>
      <c r="L169" s="209" t="str">
        <f t="shared" si="42"/>
        <v/>
      </c>
      <c r="M169" s="205" t="str">
        <f t="shared" si="43"/>
        <v/>
      </c>
      <c r="P169" s="210">
        <f t="shared" si="44"/>
        <v>0</v>
      </c>
      <c r="Q169" s="210">
        <f t="shared" si="45"/>
        <v>0</v>
      </c>
      <c r="S169" s="207"/>
      <c r="T169" s="184" t="str">
        <f t="shared" si="46"/>
        <v/>
      </c>
      <c r="U169" s="232" t="str">
        <f t="shared" si="47"/>
        <v/>
      </c>
      <c r="V169" s="208" t="str">
        <f t="shared" si="48"/>
        <v/>
      </c>
      <c r="W169" s="232" t="str">
        <f t="shared" si="49"/>
        <v/>
      </c>
      <c r="X169" s="198" t="str">
        <f t="shared" si="50"/>
        <v/>
      </c>
      <c r="Y169" s="206">
        <f t="shared" si="51"/>
        <v>0</v>
      </c>
      <c r="Z169" s="208" t="str">
        <f t="shared" si="52"/>
        <v/>
      </c>
      <c r="AA169" s="208" t="str">
        <f t="shared" si="53"/>
        <v/>
      </c>
      <c r="AB169" s="198" t="str">
        <f t="shared" si="54"/>
        <v/>
      </c>
      <c r="AC169" s="198" t="str">
        <f t="shared" si="55"/>
        <v/>
      </c>
      <c r="AD169" s="184" t="str">
        <f>IF(S169="","",2*(BIVAR((-AA169),AB169,AC169)-BIVAR(-AA169,-AB169,AC169)))</f>
        <v/>
      </c>
      <c r="AE169" s="185" t="str">
        <f>IF(S169="","",2*(BIVAR(AA169,-AB169,AC169)-BIVAR(-AA169,-AB169,AC169)))</f>
        <v/>
      </c>
    </row>
    <row r="170" spans="1:31" ht="18.75" thickBot="1" x14ac:dyDescent="0.3">
      <c r="A170" s="267"/>
      <c r="B170" s="266"/>
      <c r="C170" s="266"/>
      <c r="D170" s="266"/>
      <c r="E170" s="187" t="str">
        <f t="shared" si="38"/>
        <v/>
      </c>
      <c r="F170" s="199" t="str">
        <f t="shared" si="39"/>
        <v/>
      </c>
      <c r="G170" s="199" t="str">
        <f t="shared" si="40"/>
        <v/>
      </c>
      <c r="H170" s="266" t="str">
        <f t="shared" si="37"/>
        <v/>
      </c>
      <c r="I170" s="266"/>
      <c r="J170" s="419">
        <f t="shared" si="41"/>
        <v>0</v>
      </c>
      <c r="K170" s="420"/>
      <c r="L170" s="189" t="str">
        <f t="shared" si="42"/>
        <v/>
      </c>
      <c r="M170" s="204" t="str">
        <f t="shared" si="43"/>
        <v/>
      </c>
      <c r="P170" s="210">
        <f t="shared" si="44"/>
        <v>0</v>
      </c>
      <c r="Q170" s="210">
        <f t="shared" si="45"/>
        <v>0</v>
      </c>
      <c r="S170" s="236"/>
      <c r="T170" s="186" t="str">
        <f t="shared" si="46"/>
        <v/>
      </c>
      <c r="U170" s="233" t="str">
        <f t="shared" si="47"/>
        <v/>
      </c>
      <c r="V170" s="187" t="str">
        <f t="shared" si="48"/>
        <v/>
      </c>
      <c r="W170" s="233" t="str">
        <f t="shared" si="49"/>
        <v/>
      </c>
      <c r="X170" s="199" t="str">
        <f t="shared" si="50"/>
        <v/>
      </c>
      <c r="Y170" s="239">
        <f t="shared" si="51"/>
        <v>0</v>
      </c>
      <c r="Z170" s="187" t="str">
        <f t="shared" si="52"/>
        <v/>
      </c>
      <c r="AA170" s="187" t="str">
        <f t="shared" si="53"/>
        <v/>
      </c>
      <c r="AB170" s="199" t="str">
        <f t="shared" si="54"/>
        <v/>
      </c>
      <c r="AC170" s="199" t="str">
        <f t="shared" si="55"/>
        <v/>
      </c>
      <c r="AD170" s="186" t="str">
        <f>IF(S170="","",2*(BIVAR((-AA170),AB170,AC170)-BIVAR(-AA170,-AB170,AC170)))</f>
        <v/>
      </c>
      <c r="AE170" s="188" t="str">
        <f>IF(S170="","",2*(BIVAR(AA170,-AB170,AC170)-BIVAR(-AA170,-AB170,AC170)))</f>
        <v/>
      </c>
    </row>
    <row r="172" spans="1:31" ht="15.75" customHeight="1" x14ac:dyDescent="0.25">
      <c r="B172" s="157"/>
      <c r="C172" s="157"/>
      <c r="D172" s="157"/>
      <c r="E172" s="157"/>
      <c r="F172" s="157"/>
      <c r="G172" s="157"/>
      <c r="H172" s="157"/>
      <c r="I172" s="157"/>
      <c r="J172" s="157"/>
      <c r="K172" s="162"/>
      <c r="L172" s="182"/>
      <c r="M172" s="37"/>
    </row>
  </sheetData>
  <mergeCells count="337">
    <mergeCell ref="A126:M127"/>
    <mergeCell ref="S148:AE148"/>
    <mergeCell ref="A170:B170"/>
    <mergeCell ref="C170:D170"/>
    <mergeCell ref="H170:I170"/>
    <mergeCell ref="J170:K170"/>
    <mergeCell ref="A164:B164"/>
    <mergeCell ref="C164:D164"/>
    <mergeCell ref="H164:I164"/>
    <mergeCell ref="J164:K164"/>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69:B169"/>
    <mergeCell ref="C169:D169"/>
    <mergeCell ref="H169:I169"/>
    <mergeCell ref="J169:K169"/>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34:B34"/>
    <mergeCell ref="C34:H34"/>
    <mergeCell ref="I34:J34"/>
    <mergeCell ref="K34:L34"/>
    <mergeCell ref="A35:B35"/>
    <mergeCell ref="C35:D35"/>
    <mergeCell ref="E35:F35"/>
    <mergeCell ref="G35:H35"/>
    <mergeCell ref="I35:J35"/>
    <mergeCell ref="K35:L35"/>
    <mergeCell ref="A37:B37"/>
    <mergeCell ref="C37:D37"/>
    <mergeCell ref="E37:F37"/>
    <mergeCell ref="G37:H37"/>
    <mergeCell ref="I37:J37"/>
    <mergeCell ref="K37:L37"/>
    <mergeCell ref="A36:B36"/>
    <mergeCell ref="C36:D36"/>
    <mergeCell ref="E36:F36"/>
    <mergeCell ref="G36:H36"/>
    <mergeCell ref="I36:J36"/>
    <mergeCell ref="K36:L36"/>
    <mergeCell ref="A38:B38"/>
    <mergeCell ref="C38:L38"/>
    <mergeCell ref="A40:L40"/>
    <mergeCell ref="A41:B41"/>
    <mergeCell ref="D41:E41"/>
    <mergeCell ref="G41:H41"/>
    <mergeCell ref="J41:K41"/>
    <mergeCell ref="A80:B80"/>
    <mergeCell ref="C80:D80"/>
    <mergeCell ref="H80:I80"/>
    <mergeCell ref="J80:K80"/>
    <mergeCell ref="C79:D79"/>
    <mergeCell ref="H79:I79"/>
    <mergeCell ref="J79:K79"/>
    <mergeCell ref="A69:D74"/>
    <mergeCell ref="I56:L56"/>
    <mergeCell ref="A78:B78"/>
    <mergeCell ref="C78:D78"/>
    <mergeCell ref="H78:I78"/>
    <mergeCell ref="J78:K78"/>
    <mergeCell ref="I59:L59"/>
    <mergeCell ref="A58:L58"/>
    <mergeCell ref="A56:B56"/>
    <mergeCell ref="G56:H56"/>
    <mergeCell ref="A53:F53"/>
    <mergeCell ref="G53:L53"/>
    <mergeCell ref="I54:L54"/>
    <mergeCell ref="A55:B55"/>
    <mergeCell ref="C55:F55"/>
    <mergeCell ref="G55:H55"/>
    <mergeCell ref="I55:L55"/>
    <mergeCell ref="A59:B59"/>
    <mergeCell ref="A79:B79"/>
    <mergeCell ref="C59:F59"/>
    <mergeCell ref="G59:H59"/>
    <mergeCell ref="I60:L60"/>
    <mergeCell ref="C56:F56"/>
    <mergeCell ref="A82:B82"/>
    <mergeCell ref="C82:D82"/>
    <mergeCell ref="H82:I82"/>
    <mergeCell ref="J82:K82"/>
    <mergeCell ref="A83:B83"/>
    <mergeCell ref="C83:D83"/>
    <mergeCell ref="H83:I83"/>
    <mergeCell ref="J83:K83"/>
    <mergeCell ref="A81:B81"/>
    <mergeCell ref="C81:D81"/>
    <mergeCell ref="H81:I81"/>
    <mergeCell ref="J81:K81"/>
    <mergeCell ref="A86:B86"/>
    <mergeCell ref="C86:D86"/>
    <mergeCell ref="H86:I86"/>
    <mergeCell ref="J86:K86"/>
    <mergeCell ref="A87:B87"/>
    <mergeCell ref="C87:D87"/>
    <mergeCell ref="H87:I87"/>
    <mergeCell ref="J87:K87"/>
    <mergeCell ref="A84:B84"/>
    <mergeCell ref="C84:D84"/>
    <mergeCell ref="H84:I84"/>
    <mergeCell ref="J84:K84"/>
    <mergeCell ref="A85:B85"/>
    <mergeCell ref="C85:D85"/>
    <mergeCell ref="H85:I85"/>
    <mergeCell ref="J85:K85"/>
    <mergeCell ref="A90:B90"/>
    <mergeCell ref="C90:D90"/>
    <mergeCell ref="H90:I90"/>
    <mergeCell ref="J90:K90"/>
    <mergeCell ref="A91:B91"/>
    <mergeCell ref="C91:D91"/>
    <mergeCell ref="H91:I91"/>
    <mergeCell ref="J91:K91"/>
    <mergeCell ref="A88:B88"/>
    <mergeCell ref="C88:D88"/>
    <mergeCell ref="H88:I88"/>
    <mergeCell ref="J88:K88"/>
    <mergeCell ref="A89:B89"/>
    <mergeCell ref="C89:D89"/>
    <mergeCell ref="H89:I89"/>
    <mergeCell ref="J89:K89"/>
    <mergeCell ref="A97:B97"/>
    <mergeCell ref="C97:D97"/>
    <mergeCell ref="A92:B92"/>
    <mergeCell ref="C92:D92"/>
    <mergeCell ref="H92:I92"/>
    <mergeCell ref="J92:K92"/>
    <mergeCell ref="A93:B93"/>
    <mergeCell ref="C93:D93"/>
    <mergeCell ref="H93:I93"/>
    <mergeCell ref="J93:K93"/>
    <mergeCell ref="H94:I94"/>
    <mergeCell ref="J94:K94"/>
    <mergeCell ref="A95:B95"/>
    <mergeCell ref="C95:D95"/>
    <mergeCell ref="H95:I95"/>
    <mergeCell ref="J95:K95"/>
    <mergeCell ref="A96:B96"/>
    <mergeCell ref="C96:D96"/>
    <mergeCell ref="H96:I96"/>
    <mergeCell ref="J96:K96"/>
    <mergeCell ref="A167:B167"/>
    <mergeCell ref="C167:D167"/>
    <mergeCell ref="H167:I167"/>
    <mergeCell ref="J167:K167"/>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58:B158"/>
    <mergeCell ref="C158:D158"/>
    <mergeCell ref="H158:I158"/>
    <mergeCell ref="J158:K158"/>
    <mergeCell ref="A162:B162"/>
    <mergeCell ref="C162:D162"/>
    <mergeCell ref="H162:I162"/>
    <mergeCell ref="J162:K162"/>
    <mergeCell ref="A163:B163"/>
    <mergeCell ref="C163:D163"/>
    <mergeCell ref="H163:I163"/>
    <mergeCell ref="J163:K163"/>
    <mergeCell ref="A159:B159"/>
    <mergeCell ref="C159:D159"/>
    <mergeCell ref="H159:I159"/>
    <mergeCell ref="J159:K159"/>
    <mergeCell ref="A155:B155"/>
    <mergeCell ref="C155:D155"/>
    <mergeCell ref="H155:I155"/>
    <mergeCell ref="J155:K155"/>
    <mergeCell ref="A152:B152"/>
    <mergeCell ref="C152:D152"/>
    <mergeCell ref="H152:I152"/>
    <mergeCell ref="J152:K152"/>
    <mergeCell ref="A153:B153"/>
    <mergeCell ref="C153:D153"/>
    <mergeCell ref="H153:I153"/>
    <mergeCell ref="J153:K153"/>
    <mergeCell ref="A154:B154"/>
    <mergeCell ref="C154:D154"/>
    <mergeCell ref="H154:I154"/>
    <mergeCell ref="J154:K154"/>
    <mergeCell ref="A150:B150"/>
    <mergeCell ref="C150:D150"/>
    <mergeCell ref="H150:I150"/>
    <mergeCell ref="J150:K150"/>
    <mergeCell ref="A151:B151"/>
    <mergeCell ref="C151:D151"/>
    <mergeCell ref="H151:I151"/>
    <mergeCell ref="J151:K151"/>
    <mergeCell ref="A140:D145"/>
    <mergeCell ref="A149:B149"/>
    <mergeCell ref="C149:D149"/>
    <mergeCell ref="H149:I149"/>
    <mergeCell ref="J149:K149"/>
    <mergeCell ref="A148:M148"/>
    <mergeCell ref="A1:D6"/>
    <mergeCell ref="E1:L3"/>
    <mergeCell ref="E4:L6"/>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A54:B54"/>
    <mergeCell ref="G54:H54"/>
    <mergeCell ref="C60:F60"/>
    <mergeCell ref="G60:H60"/>
    <mergeCell ref="S77:AE77"/>
    <mergeCell ref="A77:M77"/>
    <mergeCell ref="A63:M66"/>
    <mergeCell ref="E69:M71"/>
    <mergeCell ref="E72:M74"/>
    <mergeCell ref="A134:M137"/>
    <mergeCell ref="E140:M142"/>
    <mergeCell ref="E143:M145"/>
    <mergeCell ref="A128:M129"/>
    <mergeCell ref="A130:M131"/>
    <mergeCell ref="A122:M123"/>
    <mergeCell ref="A124:M125"/>
    <mergeCell ref="A99:B99"/>
    <mergeCell ref="C99:D99"/>
    <mergeCell ref="H99:I99"/>
    <mergeCell ref="J99:K99"/>
    <mergeCell ref="H97:I97"/>
    <mergeCell ref="J97:K97"/>
    <mergeCell ref="J98:K98"/>
    <mergeCell ref="A98:B98"/>
    <mergeCell ref="C98:D98"/>
    <mergeCell ref="H98:I98"/>
    <mergeCell ref="A94:B94"/>
    <mergeCell ref="C94:D94"/>
  </mergeCells>
  <conditionalFormatting sqref="K172:L172 M79:M99">
    <cfRule type="containsText" dxfId="3" priority="9" operator="containsText" text="Fail">
      <formula>NOT(ISERROR(SEARCH("Fail",K79)))</formula>
    </cfRule>
    <cfRule type="containsText" dxfId="2" priority="10" operator="containsText" text="Pass">
      <formula>NOT(ISERROR(SEARCH("Pass",K79)))</formula>
    </cfRule>
  </conditionalFormatting>
  <conditionalFormatting sqref="M150:M170">
    <cfRule type="containsText" dxfId="1" priority="1" operator="containsText" text="Fail">
      <formula>NOT(ISERROR(SEARCH("Fail",M150)))</formula>
    </cfRule>
    <cfRule type="containsText" dxfId="0" priority="2" operator="containsText" text="Pass">
      <formula>NOT(ISERROR(SEARCH("Pass",M150)))</formula>
    </cfRule>
  </conditionalFormatting>
  <printOptions horizontalCentered="1"/>
  <pageMargins left="0.7" right="0.7" top="0.85" bottom="0.75" header="0.3" footer="0.8"/>
  <pageSetup scale="56" orientation="portrait" r:id="rId1"/>
  <headerFooter>
    <oddHeader>&amp;C
&amp;G</oddHeader>
    <oddFooter>&amp;CPage &amp;P of &amp;N&amp;R&amp;F</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143"/>
  <sheetViews>
    <sheetView zoomScale="80" zoomScaleNormal="80" workbookViewId="0">
      <selection activeCell="H22" sqref="H22"/>
    </sheetView>
  </sheetViews>
  <sheetFormatPr defaultRowHeight="14.25" x14ac:dyDescent="0.25"/>
  <cols>
    <col min="1" max="2" width="9.140625" style="217"/>
    <col min="3" max="3" width="46.28515625" style="217" bestFit="1" customWidth="1"/>
    <col min="4" max="4" width="91.5703125" style="217" customWidth="1"/>
    <col min="5" max="5" width="130" style="217" customWidth="1"/>
    <col min="6" max="16384" width="9.140625" style="217"/>
  </cols>
  <sheetData>
    <row r="1" spans="2:5" ht="15" thickBot="1" x14ac:dyDescent="0.3"/>
    <row r="2" spans="2:5" ht="15.75" thickBot="1" x14ac:dyDescent="0.3">
      <c r="B2" s="494" t="s">
        <v>2637</v>
      </c>
      <c r="C2" s="495"/>
      <c r="D2" s="495"/>
      <c r="E2" s="496"/>
    </row>
    <row r="3" spans="2:5" ht="30.75" thickBot="1" x14ac:dyDescent="0.3">
      <c r="B3" s="480" t="s">
        <v>2638</v>
      </c>
      <c r="C3" s="493"/>
      <c r="D3" s="218" t="s">
        <v>2640</v>
      </c>
      <c r="E3" s="219" t="s">
        <v>2639</v>
      </c>
    </row>
    <row r="4" spans="2:5" ht="114" x14ac:dyDescent="0.25">
      <c r="B4" s="222" t="s">
        <v>2641</v>
      </c>
      <c r="C4" s="223" t="s">
        <v>2642</v>
      </c>
      <c r="D4" s="224" t="s">
        <v>2655</v>
      </c>
      <c r="E4" s="225" t="s">
        <v>2656</v>
      </c>
    </row>
    <row r="5" spans="2:5" ht="315" customHeight="1" x14ac:dyDescent="0.25">
      <c r="B5" s="472"/>
      <c r="C5" s="473"/>
      <c r="D5" s="473"/>
      <c r="E5" s="474"/>
    </row>
    <row r="6" spans="2:5" ht="71.25" x14ac:dyDescent="0.25">
      <c r="B6" s="226" t="s">
        <v>2643</v>
      </c>
      <c r="C6" s="221" t="s">
        <v>2644</v>
      </c>
      <c r="D6" s="220" t="s">
        <v>2657</v>
      </c>
      <c r="E6" s="227" t="s">
        <v>2658</v>
      </c>
    </row>
    <row r="7" spans="2:5" ht="42.75" x14ac:dyDescent="0.25">
      <c r="B7" s="226" t="s">
        <v>2645</v>
      </c>
      <c r="C7" s="221" t="s">
        <v>2646</v>
      </c>
      <c r="D7" s="220" t="s">
        <v>2659</v>
      </c>
      <c r="E7" s="227" t="s">
        <v>2660</v>
      </c>
    </row>
    <row r="8" spans="2:5" ht="85.5" x14ac:dyDescent="0.25">
      <c r="B8" s="226" t="s">
        <v>2647</v>
      </c>
      <c r="C8" s="221" t="s">
        <v>2648</v>
      </c>
      <c r="D8" s="220" t="s">
        <v>2661</v>
      </c>
      <c r="E8" s="227" t="s">
        <v>2662</v>
      </c>
    </row>
    <row r="9" spans="2:5" ht="71.25" x14ac:dyDescent="0.25">
      <c r="B9" s="226" t="s">
        <v>2649</v>
      </c>
      <c r="C9" s="221" t="s">
        <v>2650</v>
      </c>
      <c r="D9" s="220" t="s">
        <v>2663</v>
      </c>
      <c r="E9" s="227" t="s">
        <v>2664</v>
      </c>
    </row>
    <row r="10" spans="2:5" ht="42.75" x14ac:dyDescent="0.25">
      <c r="B10" s="226" t="s">
        <v>2651</v>
      </c>
      <c r="C10" s="221" t="s">
        <v>2652</v>
      </c>
      <c r="D10" s="220" t="s">
        <v>2665</v>
      </c>
      <c r="E10" s="227" t="s">
        <v>2666</v>
      </c>
    </row>
    <row r="11" spans="2:5" ht="144.75" customHeight="1" thickBot="1" x14ac:dyDescent="0.3">
      <c r="B11" s="228" t="s">
        <v>2653</v>
      </c>
      <c r="C11" s="229" t="s">
        <v>2654</v>
      </c>
      <c r="D11" s="230" t="s">
        <v>2667</v>
      </c>
      <c r="E11" s="231" t="s">
        <v>2674</v>
      </c>
    </row>
    <row r="12" spans="2:5" x14ac:dyDescent="0.25">
      <c r="B12" s="497" t="s">
        <v>2668</v>
      </c>
      <c r="C12" s="481"/>
      <c r="D12" s="499" t="s">
        <v>2630</v>
      </c>
      <c r="E12" s="500"/>
    </row>
    <row r="13" spans="2:5" x14ac:dyDescent="0.25">
      <c r="B13" s="485" t="s">
        <v>2669</v>
      </c>
      <c r="C13" s="486"/>
      <c r="D13" s="498">
        <v>43727</v>
      </c>
      <c r="E13" s="492"/>
    </row>
    <row r="14" spans="2:5" x14ac:dyDescent="0.25">
      <c r="B14" s="485" t="s">
        <v>2671</v>
      </c>
      <c r="C14" s="486"/>
      <c r="D14" s="491" t="s">
        <v>2675</v>
      </c>
      <c r="E14" s="492"/>
    </row>
    <row r="15" spans="2:5" x14ac:dyDescent="0.25">
      <c r="B15" s="485" t="s">
        <v>2670</v>
      </c>
      <c r="C15" s="486"/>
      <c r="D15" s="491" t="s">
        <v>128</v>
      </c>
      <c r="E15" s="492"/>
    </row>
    <row r="16" spans="2:5" x14ac:dyDescent="0.25">
      <c r="B16" s="485" t="s">
        <v>2676</v>
      </c>
      <c r="C16" s="486"/>
      <c r="D16" s="491" t="s">
        <v>128</v>
      </c>
      <c r="E16" s="492"/>
    </row>
    <row r="17" spans="2:5" ht="28.5" customHeight="1" x14ac:dyDescent="0.25">
      <c r="B17" s="485" t="s">
        <v>2672</v>
      </c>
      <c r="C17" s="486"/>
      <c r="D17" s="491" t="s">
        <v>128</v>
      </c>
      <c r="E17" s="492"/>
    </row>
    <row r="18" spans="2:5" ht="15" thickBot="1" x14ac:dyDescent="0.3">
      <c r="B18" s="487" t="s">
        <v>2673</v>
      </c>
      <c r="C18" s="488"/>
      <c r="D18" s="489" t="s">
        <v>128</v>
      </c>
      <c r="E18" s="490"/>
    </row>
    <row r="19" spans="2:5" ht="15" thickBot="1" x14ac:dyDescent="0.3"/>
    <row r="20" spans="2:5" ht="15" thickBot="1" x14ac:dyDescent="0.3">
      <c r="B20" s="480" t="s">
        <v>2677</v>
      </c>
      <c r="C20" s="481"/>
      <c r="D20" s="481"/>
      <c r="E20" s="482"/>
    </row>
    <row r="21" spans="2:5" ht="15" customHeight="1" x14ac:dyDescent="0.25">
      <c r="B21" s="222" t="s">
        <v>2641</v>
      </c>
      <c r="C21" s="483" t="s">
        <v>2678</v>
      </c>
      <c r="D21" s="483"/>
      <c r="E21" s="484"/>
    </row>
    <row r="22" spans="2:5" ht="17.25" customHeight="1" x14ac:dyDescent="0.25">
      <c r="B22" s="472"/>
      <c r="C22" s="473"/>
      <c r="D22" s="473"/>
      <c r="E22" s="474"/>
    </row>
    <row r="23" spans="2:5" ht="17.25" customHeight="1" x14ac:dyDescent="0.25">
      <c r="B23" s="472"/>
      <c r="C23" s="473"/>
      <c r="D23" s="473"/>
      <c r="E23" s="474"/>
    </row>
    <row r="24" spans="2:5" ht="17.25" customHeight="1" x14ac:dyDescent="0.25">
      <c r="B24" s="472"/>
      <c r="C24" s="473"/>
      <c r="D24" s="473"/>
      <c r="E24" s="474"/>
    </row>
    <row r="25" spans="2:5" ht="17.25" customHeight="1" x14ac:dyDescent="0.25">
      <c r="B25" s="472"/>
      <c r="C25" s="473"/>
      <c r="D25" s="473"/>
      <c r="E25" s="474"/>
    </row>
    <row r="26" spans="2:5" ht="17.25" customHeight="1" x14ac:dyDescent="0.25">
      <c r="B26" s="472"/>
      <c r="C26" s="473"/>
      <c r="D26" s="473"/>
      <c r="E26" s="474"/>
    </row>
    <row r="27" spans="2:5" ht="17.25" customHeight="1" x14ac:dyDescent="0.25">
      <c r="B27" s="472"/>
      <c r="C27" s="473"/>
      <c r="D27" s="473"/>
      <c r="E27" s="474"/>
    </row>
    <row r="28" spans="2:5" ht="17.25" customHeight="1" x14ac:dyDescent="0.25">
      <c r="B28" s="472"/>
      <c r="C28" s="473"/>
      <c r="D28" s="473"/>
      <c r="E28" s="474"/>
    </row>
    <row r="29" spans="2:5" ht="17.25" customHeight="1" x14ac:dyDescent="0.25">
      <c r="B29" s="472"/>
      <c r="C29" s="473"/>
      <c r="D29" s="473"/>
      <c r="E29" s="474"/>
    </row>
    <row r="30" spans="2:5" ht="17.25" customHeight="1" x14ac:dyDescent="0.25">
      <c r="B30" s="472"/>
      <c r="C30" s="473"/>
      <c r="D30" s="473"/>
      <c r="E30" s="474"/>
    </row>
    <row r="31" spans="2:5" ht="17.25" customHeight="1" x14ac:dyDescent="0.25">
      <c r="B31" s="472"/>
      <c r="C31" s="473"/>
      <c r="D31" s="473"/>
      <c r="E31" s="474"/>
    </row>
    <row r="32" spans="2:5" ht="17.25" customHeight="1" x14ac:dyDescent="0.25">
      <c r="B32" s="472"/>
      <c r="C32" s="473"/>
      <c r="D32" s="473"/>
      <c r="E32" s="474"/>
    </row>
    <row r="33" spans="2:5" ht="17.25" customHeight="1" x14ac:dyDescent="0.25">
      <c r="B33" s="472"/>
      <c r="C33" s="473"/>
      <c r="D33" s="473"/>
      <c r="E33" s="474"/>
    </row>
    <row r="34" spans="2:5" x14ac:dyDescent="0.25">
      <c r="B34" s="226" t="s">
        <v>2643</v>
      </c>
      <c r="C34" s="475" t="s">
        <v>2679</v>
      </c>
      <c r="D34" s="475"/>
      <c r="E34" s="476"/>
    </row>
    <row r="35" spans="2:5" x14ac:dyDescent="0.25">
      <c r="B35" s="472"/>
      <c r="C35" s="473"/>
      <c r="D35" s="473"/>
      <c r="E35" s="474"/>
    </row>
    <row r="36" spans="2:5" x14ac:dyDescent="0.25">
      <c r="B36" s="472"/>
      <c r="C36" s="473"/>
      <c r="D36" s="473"/>
      <c r="E36" s="474"/>
    </row>
    <row r="37" spans="2:5" x14ac:dyDescent="0.25">
      <c r="B37" s="472"/>
      <c r="C37" s="473"/>
      <c r="D37" s="473"/>
      <c r="E37" s="474"/>
    </row>
    <row r="38" spans="2:5" x14ac:dyDescent="0.25">
      <c r="B38" s="472"/>
      <c r="C38" s="473"/>
      <c r="D38" s="473"/>
      <c r="E38" s="474"/>
    </row>
    <row r="39" spans="2:5" x14ac:dyDescent="0.25">
      <c r="B39" s="472"/>
      <c r="C39" s="473"/>
      <c r="D39" s="473"/>
      <c r="E39" s="474"/>
    </row>
    <row r="40" spans="2:5" x14ac:dyDescent="0.25">
      <c r="B40" s="472"/>
      <c r="C40" s="473"/>
      <c r="D40" s="473"/>
      <c r="E40" s="474"/>
    </row>
    <row r="41" spans="2:5" x14ac:dyDescent="0.25">
      <c r="B41" s="472"/>
      <c r="C41" s="473"/>
      <c r="D41" s="473"/>
      <c r="E41" s="474"/>
    </row>
    <row r="42" spans="2:5" x14ac:dyDescent="0.25">
      <c r="B42" s="472"/>
      <c r="C42" s="473"/>
      <c r="D42" s="473"/>
      <c r="E42" s="474"/>
    </row>
    <row r="43" spans="2:5" x14ac:dyDescent="0.25">
      <c r="B43" s="472"/>
      <c r="C43" s="473"/>
      <c r="D43" s="473"/>
      <c r="E43" s="474"/>
    </row>
    <row r="44" spans="2:5" x14ac:dyDescent="0.25">
      <c r="B44" s="472"/>
      <c r="C44" s="473"/>
      <c r="D44" s="473"/>
      <c r="E44" s="474"/>
    </row>
    <row r="45" spans="2:5" ht="42.75" customHeight="1" x14ac:dyDescent="0.25">
      <c r="B45" s="226" t="s">
        <v>2645</v>
      </c>
      <c r="C45" s="475" t="s">
        <v>2681</v>
      </c>
      <c r="D45" s="475"/>
      <c r="E45" s="476"/>
    </row>
    <row r="46" spans="2:5" x14ac:dyDescent="0.25">
      <c r="B46" s="472"/>
      <c r="C46" s="473"/>
      <c r="D46" s="473"/>
      <c r="E46" s="474"/>
    </row>
    <row r="47" spans="2:5" x14ac:dyDescent="0.25">
      <c r="B47" s="472"/>
      <c r="C47" s="473"/>
      <c r="D47" s="473"/>
      <c r="E47" s="474"/>
    </row>
    <row r="48" spans="2:5" x14ac:dyDescent="0.25">
      <c r="B48" s="472"/>
      <c r="C48" s="473"/>
      <c r="D48" s="473"/>
      <c r="E48" s="474"/>
    </row>
    <row r="49" spans="2:5" x14ac:dyDescent="0.25">
      <c r="B49" s="472"/>
      <c r="C49" s="473"/>
      <c r="D49" s="473"/>
      <c r="E49" s="474"/>
    </row>
    <row r="50" spans="2:5" x14ac:dyDescent="0.25">
      <c r="B50" s="472"/>
      <c r="C50" s="473"/>
      <c r="D50" s="473"/>
      <c r="E50" s="474"/>
    </row>
    <row r="51" spans="2:5" x14ac:dyDescent="0.25">
      <c r="B51" s="472"/>
      <c r="C51" s="473"/>
      <c r="D51" s="473"/>
      <c r="E51" s="474"/>
    </row>
    <row r="52" spans="2:5" x14ac:dyDescent="0.25">
      <c r="B52" s="472"/>
      <c r="C52" s="473"/>
      <c r="D52" s="473"/>
      <c r="E52" s="474"/>
    </row>
    <row r="53" spans="2:5" x14ac:dyDescent="0.25">
      <c r="B53" s="472"/>
      <c r="C53" s="473"/>
      <c r="D53" s="473"/>
      <c r="E53" s="474"/>
    </row>
    <row r="54" spans="2:5" x14ac:dyDescent="0.25">
      <c r="B54" s="472"/>
      <c r="C54" s="473"/>
      <c r="D54" s="473"/>
      <c r="E54" s="474"/>
    </row>
    <row r="55" spans="2:5" x14ac:dyDescent="0.25">
      <c r="B55" s="472"/>
      <c r="C55" s="473"/>
      <c r="D55" s="473"/>
      <c r="E55" s="474"/>
    </row>
    <row r="56" spans="2:5" x14ac:dyDescent="0.25">
      <c r="B56" s="472"/>
      <c r="C56" s="473"/>
      <c r="D56" s="473"/>
      <c r="E56" s="474"/>
    </row>
    <row r="57" spans="2:5" x14ac:dyDescent="0.25">
      <c r="B57" s="472"/>
      <c r="C57" s="473"/>
      <c r="D57" s="473"/>
      <c r="E57" s="474"/>
    </row>
    <row r="58" spans="2:5" x14ac:dyDescent="0.25">
      <c r="B58" s="472"/>
      <c r="C58" s="473"/>
      <c r="D58" s="473"/>
      <c r="E58" s="474"/>
    </row>
    <row r="59" spans="2:5" x14ac:dyDescent="0.25">
      <c r="B59" s="472"/>
      <c r="C59" s="473"/>
      <c r="D59" s="473"/>
      <c r="E59" s="474"/>
    </row>
    <row r="60" spans="2:5" x14ac:dyDescent="0.25">
      <c r="B60" s="472"/>
      <c r="C60" s="473"/>
      <c r="D60" s="473"/>
      <c r="E60" s="474"/>
    </row>
    <row r="61" spans="2:5" x14ac:dyDescent="0.25">
      <c r="B61" s="472"/>
      <c r="C61" s="473"/>
      <c r="D61" s="473"/>
      <c r="E61" s="474"/>
    </row>
    <row r="62" spans="2:5" x14ac:dyDescent="0.25">
      <c r="B62" s="472"/>
      <c r="C62" s="473"/>
      <c r="D62" s="473"/>
      <c r="E62" s="474"/>
    </row>
    <row r="63" spans="2:5" x14ac:dyDescent="0.25">
      <c r="B63" s="472"/>
      <c r="C63" s="473"/>
      <c r="D63" s="473"/>
      <c r="E63" s="474"/>
    </row>
    <row r="64" spans="2:5" x14ac:dyDescent="0.25">
      <c r="B64" s="472"/>
      <c r="C64" s="473"/>
      <c r="D64" s="473"/>
      <c r="E64" s="474"/>
    </row>
    <row r="65" spans="2:5" x14ac:dyDescent="0.25">
      <c r="B65" s="472"/>
      <c r="C65" s="473"/>
      <c r="D65" s="473"/>
      <c r="E65" s="474"/>
    </row>
    <row r="66" spans="2:5" x14ac:dyDescent="0.25">
      <c r="B66" s="472"/>
      <c r="C66" s="473"/>
      <c r="D66" s="473"/>
      <c r="E66" s="474"/>
    </row>
    <row r="67" spans="2:5" x14ac:dyDescent="0.25">
      <c r="B67" s="472"/>
      <c r="C67" s="473"/>
      <c r="D67" s="473"/>
      <c r="E67" s="474"/>
    </row>
    <row r="68" spans="2:5" x14ac:dyDescent="0.25">
      <c r="B68" s="472"/>
      <c r="C68" s="473"/>
      <c r="D68" s="473"/>
      <c r="E68" s="474"/>
    </row>
    <row r="69" spans="2:5" x14ac:dyDescent="0.25">
      <c r="B69" s="472"/>
      <c r="C69" s="473"/>
      <c r="D69" s="473"/>
      <c r="E69" s="474"/>
    </row>
    <row r="70" spans="2:5" x14ac:dyDescent="0.25">
      <c r="B70" s="472"/>
      <c r="C70" s="473"/>
      <c r="D70" s="473"/>
      <c r="E70" s="474"/>
    </row>
    <row r="71" spans="2:5" x14ac:dyDescent="0.25">
      <c r="B71" s="472"/>
      <c r="C71" s="473"/>
      <c r="D71" s="473"/>
      <c r="E71" s="474"/>
    </row>
    <row r="72" spans="2:5" x14ac:dyDescent="0.25">
      <c r="B72" s="472"/>
      <c r="C72" s="473"/>
      <c r="D72" s="473"/>
      <c r="E72" s="474"/>
    </row>
    <row r="73" spans="2:5" x14ac:dyDescent="0.25">
      <c r="B73" s="472"/>
      <c r="C73" s="473"/>
      <c r="D73" s="473"/>
      <c r="E73" s="474"/>
    </row>
    <row r="74" spans="2:5" x14ac:dyDescent="0.25">
      <c r="B74" s="472"/>
      <c r="C74" s="473"/>
      <c r="D74" s="473"/>
      <c r="E74" s="474"/>
    </row>
    <row r="75" spans="2:5" x14ac:dyDescent="0.25">
      <c r="B75" s="472"/>
      <c r="C75" s="473"/>
      <c r="D75" s="473"/>
      <c r="E75" s="474"/>
    </row>
    <row r="76" spans="2:5" x14ac:dyDescent="0.25">
      <c r="B76" s="472"/>
      <c r="C76" s="473"/>
      <c r="D76" s="473"/>
      <c r="E76" s="474"/>
    </row>
    <row r="77" spans="2:5" x14ac:dyDescent="0.25">
      <c r="B77" s="472"/>
      <c r="C77" s="473"/>
      <c r="D77" s="473"/>
      <c r="E77" s="474"/>
    </row>
    <row r="78" spans="2:5" x14ac:dyDescent="0.25">
      <c r="B78" s="472"/>
      <c r="C78" s="473"/>
      <c r="D78" s="473"/>
      <c r="E78" s="474"/>
    </row>
    <row r="79" spans="2:5" x14ac:dyDescent="0.25">
      <c r="B79" s="472"/>
      <c r="C79" s="473"/>
      <c r="D79" s="473"/>
      <c r="E79" s="474"/>
    </row>
    <row r="80" spans="2:5" x14ac:dyDescent="0.25">
      <c r="B80" s="472"/>
      <c r="C80" s="473"/>
      <c r="D80" s="473"/>
      <c r="E80" s="474"/>
    </row>
    <row r="81" spans="2:5" x14ac:dyDescent="0.25">
      <c r="B81" s="472"/>
      <c r="C81" s="473"/>
      <c r="D81" s="473"/>
      <c r="E81" s="474"/>
    </row>
    <row r="82" spans="2:5" x14ac:dyDescent="0.25">
      <c r="B82" s="472"/>
      <c r="C82" s="473"/>
      <c r="D82" s="473"/>
      <c r="E82" s="474"/>
    </row>
    <row r="83" spans="2:5" x14ac:dyDescent="0.25">
      <c r="B83" s="472"/>
      <c r="C83" s="473"/>
      <c r="D83" s="473"/>
      <c r="E83" s="474"/>
    </row>
    <row r="84" spans="2:5" x14ac:dyDescent="0.25">
      <c r="B84" s="472"/>
      <c r="C84" s="473"/>
      <c r="D84" s="473"/>
      <c r="E84" s="474"/>
    </row>
    <row r="85" spans="2:5" x14ac:dyDescent="0.25">
      <c r="B85" s="472"/>
      <c r="C85" s="473"/>
      <c r="D85" s="473"/>
      <c r="E85" s="474"/>
    </row>
    <row r="86" spans="2:5" x14ac:dyDescent="0.25">
      <c r="B86" s="472"/>
      <c r="C86" s="473"/>
      <c r="D86" s="473"/>
      <c r="E86" s="474"/>
    </row>
    <row r="87" spans="2:5" x14ac:dyDescent="0.25">
      <c r="B87" s="472"/>
      <c r="C87" s="473"/>
      <c r="D87" s="473"/>
      <c r="E87" s="474"/>
    </row>
    <row r="88" spans="2:5" x14ac:dyDescent="0.25">
      <c r="B88" s="472"/>
      <c r="C88" s="473"/>
      <c r="D88" s="473"/>
      <c r="E88" s="474"/>
    </row>
    <row r="89" spans="2:5" x14ac:dyDescent="0.25">
      <c r="B89" s="472"/>
      <c r="C89" s="473"/>
      <c r="D89" s="473"/>
      <c r="E89" s="474"/>
    </row>
    <row r="90" spans="2:5" x14ac:dyDescent="0.25">
      <c r="B90" s="472"/>
      <c r="C90" s="473"/>
      <c r="D90" s="473"/>
      <c r="E90" s="474"/>
    </row>
    <row r="91" spans="2:5" x14ac:dyDescent="0.25">
      <c r="B91" s="472"/>
      <c r="C91" s="473"/>
      <c r="D91" s="473"/>
      <c r="E91" s="474"/>
    </row>
    <row r="92" spans="2:5" x14ac:dyDescent="0.25">
      <c r="B92" s="472"/>
      <c r="C92" s="473"/>
      <c r="D92" s="473"/>
      <c r="E92" s="474"/>
    </row>
    <row r="93" spans="2:5" x14ac:dyDescent="0.25">
      <c r="B93" s="472"/>
      <c r="C93" s="473"/>
      <c r="D93" s="473"/>
      <c r="E93" s="474"/>
    </row>
    <row r="94" spans="2:5" x14ac:dyDescent="0.25">
      <c r="B94" s="472"/>
      <c r="C94" s="473"/>
      <c r="D94" s="473"/>
      <c r="E94" s="474"/>
    </row>
    <row r="95" spans="2:5" x14ac:dyDescent="0.25">
      <c r="B95" s="472"/>
      <c r="C95" s="473"/>
      <c r="D95" s="473"/>
      <c r="E95" s="474"/>
    </row>
    <row r="96" spans="2:5" x14ac:dyDescent="0.25">
      <c r="B96" s="472"/>
      <c r="C96" s="473"/>
      <c r="D96" s="473"/>
      <c r="E96" s="474"/>
    </row>
    <row r="97" spans="2:5" x14ac:dyDescent="0.25">
      <c r="B97" s="472"/>
      <c r="C97" s="473"/>
      <c r="D97" s="473"/>
      <c r="E97" s="474"/>
    </row>
    <row r="98" spans="2:5" x14ac:dyDescent="0.25">
      <c r="B98" s="472"/>
      <c r="C98" s="473"/>
      <c r="D98" s="473"/>
      <c r="E98" s="474"/>
    </row>
    <row r="99" spans="2:5" x14ac:dyDescent="0.25">
      <c r="B99" s="472"/>
      <c r="C99" s="473"/>
      <c r="D99" s="473"/>
      <c r="E99" s="474"/>
    </row>
    <row r="100" spans="2:5" x14ac:dyDescent="0.25">
      <c r="B100" s="472"/>
      <c r="C100" s="473"/>
      <c r="D100" s="473"/>
      <c r="E100" s="474"/>
    </row>
    <row r="101" spans="2:5" x14ac:dyDescent="0.25">
      <c r="B101" s="472"/>
      <c r="C101" s="473"/>
      <c r="D101" s="473"/>
      <c r="E101" s="474"/>
    </row>
    <row r="102" spans="2:5" x14ac:dyDescent="0.25">
      <c r="B102" s="472"/>
      <c r="C102" s="473"/>
      <c r="D102" s="473"/>
      <c r="E102" s="474"/>
    </row>
    <row r="103" spans="2:5" x14ac:dyDescent="0.25">
      <c r="B103" s="472"/>
      <c r="C103" s="473"/>
      <c r="D103" s="473"/>
      <c r="E103" s="474"/>
    </row>
    <row r="104" spans="2:5" x14ac:dyDescent="0.25">
      <c r="B104" s="472"/>
      <c r="C104" s="473"/>
      <c r="D104" s="473"/>
      <c r="E104" s="474"/>
    </row>
    <row r="105" spans="2:5" x14ac:dyDescent="0.25">
      <c r="B105" s="472"/>
      <c r="C105" s="473"/>
      <c r="D105" s="473"/>
      <c r="E105" s="474"/>
    </row>
    <row r="106" spans="2:5" x14ac:dyDescent="0.25">
      <c r="B106" s="472"/>
      <c r="C106" s="473"/>
      <c r="D106" s="473"/>
      <c r="E106" s="474"/>
    </row>
    <row r="107" spans="2:5" x14ac:dyDescent="0.25">
      <c r="B107" s="472"/>
      <c r="C107" s="473"/>
      <c r="D107" s="473"/>
      <c r="E107" s="474"/>
    </row>
    <row r="108" spans="2:5" x14ac:dyDescent="0.25">
      <c r="B108" s="472"/>
      <c r="C108" s="473"/>
      <c r="D108" s="473"/>
      <c r="E108" s="474"/>
    </row>
    <row r="109" spans="2:5" x14ac:dyDescent="0.25">
      <c r="B109" s="472"/>
      <c r="C109" s="473"/>
      <c r="D109" s="473"/>
      <c r="E109" s="474"/>
    </row>
    <row r="110" spans="2:5" x14ac:dyDescent="0.25">
      <c r="B110" s="472"/>
      <c r="C110" s="473"/>
      <c r="D110" s="473"/>
      <c r="E110" s="474"/>
    </row>
    <row r="111" spans="2:5" x14ac:dyDescent="0.25">
      <c r="B111" s="472"/>
      <c r="C111" s="473"/>
      <c r="D111" s="473"/>
      <c r="E111" s="474"/>
    </row>
    <row r="112" spans="2:5" x14ac:dyDescent="0.25">
      <c r="B112" s="472"/>
      <c r="C112" s="473"/>
      <c r="D112" s="473"/>
      <c r="E112" s="474"/>
    </row>
    <row r="113" spans="2:5" x14ac:dyDescent="0.25">
      <c r="B113" s="472"/>
      <c r="C113" s="473"/>
      <c r="D113" s="473"/>
      <c r="E113" s="474"/>
    </row>
    <row r="114" spans="2:5" x14ac:dyDescent="0.25">
      <c r="B114" s="472"/>
      <c r="C114" s="473"/>
      <c r="D114" s="473"/>
      <c r="E114" s="474"/>
    </row>
    <row r="115" spans="2:5" x14ac:dyDescent="0.25">
      <c r="B115" s="472"/>
      <c r="C115" s="473"/>
      <c r="D115" s="473"/>
      <c r="E115" s="474"/>
    </row>
    <row r="116" spans="2:5" x14ac:dyDescent="0.25">
      <c r="B116" s="472"/>
      <c r="C116" s="473"/>
      <c r="D116" s="473"/>
      <c r="E116" s="474"/>
    </row>
    <row r="117" spans="2:5" x14ac:dyDescent="0.25">
      <c r="B117" s="472"/>
      <c r="C117" s="473"/>
      <c r="D117" s="473"/>
      <c r="E117" s="474"/>
    </row>
    <row r="118" spans="2:5" x14ac:dyDescent="0.25">
      <c r="B118" s="472"/>
      <c r="C118" s="473"/>
      <c r="D118" s="473"/>
      <c r="E118" s="474"/>
    </row>
    <row r="119" spans="2:5" x14ac:dyDescent="0.25">
      <c r="B119" s="472"/>
      <c r="C119" s="473"/>
      <c r="D119" s="473"/>
      <c r="E119" s="474"/>
    </row>
    <row r="120" spans="2:5" x14ac:dyDescent="0.25">
      <c r="B120" s="472"/>
      <c r="C120" s="473"/>
      <c r="D120" s="473"/>
      <c r="E120" s="474"/>
    </row>
    <row r="121" spans="2:5" x14ac:dyDescent="0.25">
      <c r="B121" s="472"/>
      <c r="C121" s="473"/>
      <c r="D121" s="473"/>
      <c r="E121" s="474"/>
    </row>
    <row r="122" spans="2:5" x14ac:dyDescent="0.25">
      <c r="B122" s="472"/>
      <c r="C122" s="473"/>
      <c r="D122" s="473"/>
      <c r="E122" s="474"/>
    </row>
    <row r="123" spans="2:5" x14ac:dyDescent="0.25">
      <c r="B123" s="472"/>
      <c r="C123" s="473"/>
      <c r="D123" s="473"/>
      <c r="E123" s="474"/>
    </row>
    <row r="124" spans="2:5" x14ac:dyDescent="0.25">
      <c r="B124" s="472"/>
      <c r="C124" s="473"/>
      <c r="D124" s="473"/>
      <c r="E124" s="474"/>
    </row>
    <row r="125" spans="2:5" x14ac:dyDescent="0.25">
      <c r="B125" s="472"/>
      <c r="C125" s="473"/>
      <c r="D125" s="473"/>
      <c r="E125" s="474"/>
    </row>
    <row r="126" spans="2:5" x14ac:dyDescent="0.25">
      <c r="B126" s="472"/>
      <c r="C126" s="473"/>
      <c r="D126" s="473"/>
      <c r="E126" s="474"/>
    </row>
    <row r="127" spans="2:5" x14ac:dyDescent="0.25">
      <c r="B127" s="472"/>
      <c r="C127" s="473"/>
      <c r="D127" s="473"/>
      <c r="E127" s="474"/>
    </row>
    <row r="128" spans="2:5" x14ac:dyDescent="0.25">
      <c r="B128" s="472"/>
      <c r="C128" s="473"/>
      <c r="D128" s="473"/>
      <c r="E128" s="474"/>
    </row>
    <row r="129" spans="2:5" x14ac:dyDescent="0.25">
      <c r="B129" s="472"/>
      <c r="C129" s="473"/>
      <c r="D129" s="473"/>
      <c r="E129" s="474"/>
    </row>
    <row r="130" spans="2:5" x14ac:dyDescent="0.25">
      <c r="B130" s="472"/>
      <c r="C130" s="473"/>
      <c r="D130" s="473"/>
      <c r="E130" s="474"/>
    </row>
    <row r="131" spans="2:5" x14ac:dyDescent="0.25">
      <c r="B131" s="472"/>
      <c r="C131" s="473"/>
      <c r="D131" s="473"/>
      <c r="E131" s="474"/>
    </row>
    <row r="132" spans="2:5" x14ac:dyDescent="0.25">
      <c r="B132" s="472"/>
      <c r="C132" s="473"/>
      <c r="D132" s="473"/>
      <c r="E132" s="474"/>
    </row>
    <row r="133" spans="2:5" x14ac:dyDescent="0.25">
      <c r="B133" s="472"/>
      <c r="C133" s="473"/>
      <c r="D133" s="473"/>
      <c r="E133" s="474"/>
    </row>
    <row r="134" spans="2:5" x14ac:dyDescent="0.25">
      <c r="B134" s="472"/>
      <c r="C134" s="473"/>
      <c r="D134" s="473"/>
      <c r="E134" s="474"/>
    </row>
    <row r="135" spans="2:5" x14ac:dyDescent="0.25">
      <c r="B135" s="472"/>
      <c r="C135" s="473"/>
      <c r="D135" s="473"/>
      <c r="E135" s="474"/>
    </row>
    <row r="136" spans="2:5" x14ac:dyDescent="0.25">
      <c r="B136" s="472"/>
      <c r="C136" s="473"/>
      <c r="D136" s="473"/>
      <c r="E136" s="474"/>
    </row>
    <row r="137" spans="2:5" x14ac:dyDescent="0.25">
      <c r="B137" s="472"/>
      <c r="C137" s="473"/>
      <c r="D137" s="473"/>
      <c r="E137" s="474"/>
    </row>
    <row r="138" spans="2:5" x14ac:dyDescent="0.25">
      <c r="B138" s="472"/>
      <c r="C138" s="473"/>
      <c r="D138" s="473"/>
      <c r="E138" s="474"/>
    </row>
    <row r="139" spans="2:5" x14ac:dyDescent="0.25">
      <c r="B139" s="472"/>
      <c r="C139" s="473"/>
      <c r="D139" s="473"/>
      <c r="E139" s="474"/>
    </row>
    <row r="140" spans="2:5" x14ac:dyDescent="0.25">
      <c r="B140" s="472"/>
      <c r="C140" s="473"/>
      <c r="D140" s="473"/>
      <c r="E140" s="474"/>
    </row>
    <row r="141" spans="2:5" x14ac:dyDescent="0.25">
      <c r="B141" s="472"/>
      <c r="C141" s="473"/>
      <c r="D141" s="473"/>
      <c r="E141" s="474"/>
    </row>
    <row r="142" spans="2:5" x14ac:dyDescent="0.25">
      <c r="B142" s="472"/>
      <c r="C142" s="473"/>
      <c r="D142" s="473"/>
      <c r="E142" s="474"/>
    </row>
    <row r="143" spans="2:5" ht="15" thickBot="1" x14ac:dyDescent="0.3">
      <c r="B143" s="477"/>
      <c r="C143" s="478"/>
      <c r="D143" s="478"/>
      <c r="E143" s="479"/>
    </row>
  </sheetData>
  <mergeCells count="25">
    <mergeCell ref="B3:C3"/>
    <mergeCell ref="B2:E2"/>
    <mergeCell ref="B5:E5"/>
    <mergeCell ref="B12:C12"/>
    <mergeCell ref="B13:C13"/>
    <mergeCell ref="D13:E13"/>
    <mergeCell ref="D12:E12"/>
    <mergeCell ref="B16:C16"/>
    <mergeCell ref="B14:C14"/>
    <mergeCell ref="B17:C17"/>
    <mergeCell ref="B18:C18"/>
    <mergeCell ref="D18:E18"/>
    <mergeCell ref="D17:E17"/>
    <mergeCell ref="D16:E16"/>
    <mergeCell ref="D15:E15"/>
    <mergeCell ref="D14:E14"/>
    <mergeCell ref="B15:C15"/>
    <mergeCell ref="B35:E44"/>
    <mergeCell ref="C45:E45"/>
    <mergeCell ref="B46:E114"/>
    <mergeCell ref="B115:E143"/>
    <mergeCell ref="B20:E20"/>
    <mergeCell ref="B22:E33"/>
    <mergeCell ref="C21:E21"/>
    <mergeCell ref="C34:E34"/>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A1472" zoomScale="80" zoomScaleNormal="80" workbookViewId="0">
      <selection activeCell="B1492" sqref="B1492"/>
    </sheetView>
  </sheetViews>
  <sheetFormatPr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504" t="s">
        <v>62</v>
      </c>
      <c r="C1" s="505"/>
      <c r="D1" s="505"/>
      <c r="E1" s="505"/>
      <c r="F1" s="505"/>
      <c r="G1" s="506"/>
      <c r="I1" s="507" t="s">
        <v>1761</v>
      </c>
      <c r="J1" s="507" t="s">
        <v>1762</v>
      </c>
      <c r="K1" s="507" t="s">
        <v>1762</v>
      </c>
    </row>
    <row r="2" spans="2:11" ht="15.75" thickBot="1" x14ac:dyDescent="0.3">
      <c r="B2" s="501"/>
      <c r="C2" s="502"/>
      <c r="D2" s="502"/>
      <c r="E2" s="502"/>
      <c r="F2" s="502"/>
      <c r="G2" s="503"/>
      <c r="I2" s="507"/>
      <c r="J2" s="507"/>
      <c r="K2" s="507"/>
    </row>
    <row r="3" spans="2:11" x14ac:dyDescent="0.25">
      <c r="B3" s="140" t="s">
        <v>23</v>
      </c>
      <c r="C3" s="103" t="s">
        <v>63</v>
      </c>
      <c r="D3" s="103" t="s">
        <v>1639</v>
      </c>
      <c r="E3" s="103" t="s">
        <v>1640</v>
      </c>
      <c r="F3" s="103" t="s">
        <v>1786</v>
      </c>
      <c r="G3" s="104" t="s">
        <v>64</v>
      </c>
      <c r="I3" s="132" t="str">
        <f>"Setpoint, "</f>
        <v xml:space="preserve">Setpoint, </v>
      </c>
      <c r="J3" s="130" t="str">
        <f>"Setpoint, "</f>
        <v xml:space="preserve">Setpoint, </v>
      </c>
      <c r="K3" s="130" t="str">
        <f>"Setpoint, "</f>
        <v xml:space="preserve">Setpoint, </v>
      </c>
    </row>
    <row r="4" spans="2:11" x14ac:dyDescent="0.25">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J6" s="130" t="str">
        <f>"Setpoint, "</f>
        <v xml:space="preserve">Setpoint, </v>
      </c>
      <c r="K6" s="130"/>
    </row>
    <row r="7" spans="2:11" x14ac:dyDescent="0.25">
      <c r="B7" s="141" t="s">
        <v>1657</v>
      </c>
      <c r="C7" s="110" t="s">
        <v>70</v>
      </c>
      <c r="D7" s="110" t="s">
        <v>66</v>
      </c>
      <c r="E7" s="110" t="s">
        <v>128</v>
      </c>
      <c r="F7" s="110" t="s">
        <v>128</v>
      </c>
      <c r="G7" s="111" t="s">
        <v>71</v>
      </c>
      <c r="J7" s="130" t="str">
        <f>$J$6&amp;TEXT('Dual, Plain, AFAL'!K37,"")</f>
        <v xml:space="preserve">Setpoint, </v>
      </c>
      <c r="K7" s="130"/>
    </row>
    <row r="8" spans="2:11" x14ac:dyDescent="0.25">
      <c r="B8" s="141" t="s">
        <v>1657</v>
      </c>
      <c r="C8" s="110" t="s">
        <v>72</v>
      </c>
      <c r="D8" s="110" t="s">
        <v>66</v>
      </c>
      <c r="E8" s="110" t="s">
        <v>128</v>
      </c>
      <c r="F8" s="110" t="s">
        <v>128</v>
      </c>
      <c r="G8" s="111" t="s">
        <v>73</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1787</v>
      </c>
      <c r="E28" s="108" t="s">
        <v>1788</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1789</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2504</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2508</v>
      </c>
      <c r="D71" s="110" t="s">
        <v>2512</v>
      </c>
      <c r="E71" s="110" t="s">
        <v>128</v>
      </c>
      <c r="F71" s="110" t="s">
        <v>128</v>
      </c>
      <c r="G71" s="111" t="s">
        <v>197</v>
      </c>
    </row>
    <row r="72" spans="2:7" x14ac:dyDescent="0.25">
      <c r="B72" s="141" t="s">
        <v>1673</v>
      </c>
      <c r="C72" s="133" t="s">
        <v>2509</v>
      </c>
      <c r="D72" s="110" t="s">
        <v>175</v>
      </c>
      <c r="E72" s="110" t="s">
        <v>128</v>
      </c>
      <c r="F72" s="110" t="s">
        <v>128</v>
      </c>
      <c r="G72" s="111" t="s">
        <v>197</v>
      </c>
    </row>
    <row r="73" spans="2:7" x14ac:dyDescent="0.25">
      <c r="B73" s="141" t="s">
        <v>1673</v>
      </c>
      <c r="C73" s="133" t="s">
        <v>2510</v>
      </c>
      <c r="D73" s="110" t="s">
        <v>2512</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2511</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1791</v>
      </c>
      <c r="D280" s="119" t="s">
        <v>1790</v>
      </c>
      <c r="E280" s="119" t="s">
        <v>128</v>
      </c>
      <c r="F280" s="119" t="s">
        <v>128</v>
      </c>
      <c r="G280" s="120" t="s">
        <v>128</v>
      </c>
    </row>
    <row r="281" spans="2:7" ht="29.25" customHeight="1" x14ac:dyDescent="0.25">
      <c r="B281" s="144" t="s">
        <v>2516</v>
      </c>
      <c r="C281" s="165" t="s">
        <v>2517</v>
      </c>
      <c r="D281" s="176" t="s">
        <v>175</v>
      </c>
      <c r="E281" s="176" t="s">
        <v>128</v>
      </c>
      <c r="F281" s="176" t="s">
        <v>128</v>
      </c>
      <c r="G281" s="177" t="s">
        <v>489</v>
      </c>
    </row>
    <row r="282" spans="2:7" ht="29.25" customHeight="1" x14ac:dyDescent="0.25">
      <c r="B282" s="141" t="s">
        <v>2516</v>
      </c>
      <c r="C282" s="137" t="s">
        <v>2518</v>
      </c>
      <c r="D282" s="119" t="s">
        <v>175</v>
      </c>
      <c r="E282" s="119" t="s">
        <v>128</v>
      </c>
      <c r="F282" s="119" t="s">
        <v>128</v>
      </c>
      <c r="G282" s="120" t="s">
        <v>489</v>
      </c>
    </row>
    <row r="283" spans="2:7" ht="29.25" customHeight="1" x14ac:dyDescent="0.25">
      <c r="B283" s="141" t="s">
        <v>2516</v>
      </c>
      <c r="C283" s="137" t="s">
        <v>2519</v>
      </c>
      <c r="D283" s="119" t="s">
        <v>175</v>
      </c>
      <c r="E283" s="119" t="s">
        <v>128</v>
      </c>
      <c r="F283" s="119" t="s">
        <v>128</v>
      </c>
      <c r="G283" s="120" t="s">
        <v>2521</v>
      </c>
    </row>
    <row r="284" spans="2:7" ht="29.25" customHeight="1" x14ac:dyDescent="0.25">
      <c r="B284" s="141" t="s">
        <v>2516</v>
      </c>
      <c r="C284" s="137" t="s">
        <v>2520</v>
      </c>
      <c r="D284" s="119" t="s">
        <v>175</v>
      </c>
      <c r="E284" s="119" t="s">
        <v>128</v>
      </c>
      <c r="F284" s="119" t="s">
        <v>128</v>
      </c>
      <c r="G284" s="120" t="s">
        <v>2522</v>
      </c>
    </row>
    <row r="285" spans="2:7" ht="29.25" customHeight="1" x14ac:dyDescent="0.25">
      <c r="B285" s="141" t="s">
        <v>2516</v>
      </c>
      <c r="C285" s="137" t="s">
        <v>2523</v>
      </c>
      <c r="D285" s="119" t="s">
        <v>175</v>
      </c>
      <c r="E285" s="119" t="s">
        <v>128</v>
      </c>
      <c r="F285" s="119" t="s">
        <v>128</v>
      </c>
      <c r="G285" s="120" t="s">
        <v>2522</v>
      </c>
    </row>
    <row r="286" spans="2:7" ht="29.25" customHeight="1" x14ac:dyDescent="0.25">
      <c r="B286" s="141" t="s">
        <v>2516</v>
      </c>
      <c r="C286" s="137" t="s">
        <v>2524</v>
      </c>
      <c r="D286" s="119" t="s">
        <v>175</v>
      </c>
      <c r="E286" s="119" t="s">
        <v>128</v>
      </c>
      <c r="F286" s="119" t="s">
        <v>128</v>
      </c>
      <c r="G286" s="120" t="s">
        <v>2526</v>
      </c>
    </row>
    <row r="287" spans="2:7" ht="29.25" customHeight="1" x14ac:dyDescent="0.25">
      <c r="B287" s="141" t="s">
        <v>2516</v>
      </c>
      <c r="C287" s="137" t="s">
        <v>2525</v>
      </c>
      <c r="D287" s="119" t="s">
        <v>175</v>
      </c>
      <c r="E287" s="119" t="s">
        <v>128</v>
      </c>
      <c r="F287" s="119" t="s">
        <v>128</v>
      </c>
      <c r="G287" s="120" t="s">
        <v>2526</v>
      </c>
    </row>
    <row r="288" spans="2:7" ht="29.25" customHeight="1" x14ac:dyDescent="0.25">
      <c r="B288" s="141" t="s">
        <v>2516</v>
      </c>
      <c r="C288" s="137" t="s">
        <v>2527</v>
      </c>
      <c r="D288" s="119" t="s">
        <v>175</v>
      </c>
      <c r="E288" s="119" t="s">
        <v>128</v>
      </c>
      <c r="F288" s="119" t="s">
        <v>128</v>
      </c>
      <c r="G288" s="120" t="s">
        <v>2534</v>
      </c>
    </row>
    <row r="289" spans="2:7" ht="29.25" customHeight="1" x14ac:dyDescent="0.25">
      <c r="B289" s="141" t="s">
        <v>2516</v>
      </c>
      <c r="C289" s="137" t="s">
        <v>2528</v>
      </c>
      <c r="D289" s="119" t="s">
        <v>175</v>
      </c>
      <c r="E289" s="119" t="s">
        <v>128</v>
      </c>
      <c r="F289" s="119" t="s">
        <v>128</v>
      </c>
      <c r="G289" s="120" t="s">
        <v>2534</v>
      </c>
    </row>
    <row r="290" spans="2:7" ht="29.25" customHeight="1" x14ac:dyDescent="0.25">
      <c r="B290" s="141" t="s">
        <v>2516</v>
      </c>
      <c r="C290" s="137" t="s">
        <v>2529</v>
      </c>
      <c r="D290" s="119" t="s">
        <v>175</v>
      </c>
      <c r="E290" s="119" t="s">
        <v>128</v>
      </c>
      <c r="F290" s="119" t="s">
        <v>128</v>
      </c>
      <c r="G290" s="120" t="s">
        <v>2535</v>
      </c>
    </row>
    <row r="291" spans="2:7" ht="29.25" customHeight="1" x14ac:dyDescent="0.25">
      <c r="B291" s="141" t="s">
        <v>2516</v>
      </c>
      <c r="C291" s="137" t="s">
        <v>2530</v>
      </c>
      <c r="D291" s="119" t="s">
        <v>175</v>
      </c>
      <c r="E291" s="119" t="s">
        <v>128</v>
      </c>
      <c r="F291" s="119" t="s">
        <v>128</v>
      </c>
      <c r="G291" s="120" t="s">
        <v>2535</v>
      </c>
    </row>
    <row r="292" spans="2:7" ht="29.25" customHeight="1" x14ac:dyDescent="0.25">
      <c r="B292" s="141" t="s">
        <v>2516</v>
      </c>
      <c r="C292" s="137" t="s">
        <v>2531</v>
      </c>
      <c r="D292" s="119" t="s">
        <v>175</v>
      </c>
      <c r="E292" s="119" t="s">
        <v>128</v>
      </c>
      <c r="F292" s="119" t="s">
        <v>128</v>
      </c>
      <c r="G292" s="120" t="s">
        <v>2521</v>
      </c>
    </row>
    <row r="293" spans="2:7" ht="29.25" customHeight="1" x14ac:dyDescent="0.25">
      <c r="B293" s="141" t="s">
        <v>2516</v>
      </c>
      <c r="C293" s="137" t="s">
        <v>2532</v>
      </c>
      <c r="D293" s="119" t="s">
        <v>175</v>
      </c>
      <c r="E293" s="119" t="s">
        <v>128</v>
      </c>
      <c r="F293" s="119" t="s">
        <v>128</v>
      </c>
      <c r="G293" s="120" t="s">
        <v>2536</v>
      </c>
    </row>
    <row r="294" spans="2:7" ht="29.25" customHeight="1" x14ac:dyDescent="0.25">
      <c r="B294" s="141" t="s">
        <v>2516</v>
      </c>
      <c r="C294" s="137" t="s">
        <v>2533</v>
      </c>
      <c r="D294" s="119" t="s">
        <v>175</v>
      </c>
      <c r="E294" s="119" t="s">
        <v>128</v>
      </c>
      <c r="F294" s="119" t="s">
        <v>128</v>
      </c>
      <c r="G294" s="120" t="s">
        <v>2536</v>
      </c>
    </row>
    <row r="295" spans="2:7" ht="29.25" customHeight="1" x14ac:dyDescent="0.25">
      <c r="B295" s="141" t="s">
        <v>2516</v>
      </c>
      <c r="C295" s="137" t="s">
        <v>2540</v>
      </c>
      <c r="D295" s="119" t="s">
        <v>175</v>
      </c>
      <c r="E295" s="119" t="s">
        <v>128</v>
      </c>
      <c r="F295" s="119" t="s">
        <v>128</v>
      </c>
      <c r="G295" s="120" t="s">
        <v>2539</v>
      </c>
    </row>
    <row r="296" spans="2:7" ht="29.25" customHeight="1" x14ac:dyDescent="0.25">
      <c r="B296" s="141" t="s">
        <v>2516</v>
      </c>
      <c r="C296" s="137" t="s">
        <v>2541</v>
      </c>
      <c r="D296" s="119" t="s">
        <v>175</v>
      </c>
      <c r="E296" s="119" t="s">
        <v>128</v>
      </c>
      <c r="F296" s="119" t="s">
        <v>128</v>
      </c>
      <c r="G296" s="120" t="s">
        <v>2539</v>
      </c>
    </row>
    <row r="297" spans="2:7" ht="29.25" customHeight="1" x14ac:dyDescent="0.25">
      <c r="B297" s="141" t="s">
        <v>2516</v>
      </c>
      <c r="C297" s="137" t="s">
        <v>2537</v>
      </c>
      <c r="D297" s="119" t="s">
        <v>175</v>
      </c>
      <c r="E297" s="119" t="s">
        <v>128</v>
      </c>
      <c r="F297" s="119" t="s">
        <v>128</v>
      </c>
      <c r="G297" s="120" t="s">
        <v>2542</v>
      </c>
    </row>
    <row r="298" spans="2:7" ht="29.25" customHeight="1" x14ac:dyDescent="0.25">
      <c r="B298" s="141" t="s">
        <v>2516</v>
      </c>
      <c r="C298" s="137" t="s">
        <v>2538</v>
      </c>
      <c r="D298" s="119" t="s">
        <v>175</v>
      </c>
      <c r="E298" s="119" t="s">
        <v>128</v>
      </c>
      <c r="F298" s="119" t="s">
        <v>128</v>
      </c>
      <c r="G298" s="120" t="s">
        <v>2542</v>
      </c>
    </row>
    <row r="299" spans="2:7" ht="29.25" customHeight="1" x14ac:dyDescent="0.25">
      <c r="B299" s="141" t="s">
        <v>2516</v>
      </c>
      <c r="C299" s="137" t="s">
        <v>2543</v>
      </c>
      <c r="D299" s="119" t="s">
        <v>175</v>
      </c>
      <c r="E299" s="119" t="s">
        <v>128</v>
      </c>
      <c r="F299" s="119" t="s">
        <v>128</v>
      </c>
      <c r="G299" s="120" t="s">
        <v>491</v>
      </c>
    </row>
    <row r="300" spans="2:7" ht="29.25" customHeight="1" x14ac:dyDescent="0.25">
      <c r="B300" s="141" t="s">
        <v>2516</v>
      </c>
      <c r="C300" s="137" t="s">
        <v>2544</v>
      </c>
      <c r="D300" s="119" t="s">
        <v>175</v>
      </c>
      <c r="E300" s="119" t="s">
        <v>128</v>
      </c>
      <c r="F300" s="119" t="s">
        <v>128</v>
      </c>
      <c r="G300" s="120" t="s">
        <v>491</v>
      </c>
    </row>
    <row r="301" spans="2:7" ht="29.25" customHeight="1" x14ac:dyDescent="0.25">
      <c r="B301" s="141" t="s">
        <v>2516</v>
      </c>
      <c r="C301" s="137" t="s">
        <v>2545</v>
      </c>
      <c r="D301" s="119" t="s">
        <v>175</v>
      </c>
      <c r="E301" s="119" t="s">
        <v>128</v>
      </c>
      <c r="F301" s="119" t="s">
        <v>128</v>
      </c>
      <c r="G301" s="120" t="s">
        <v>2369</v>
      </c>
    </row>
    <row r="302" spans="2:7" ht="29.25" customHeight="1" x14ac:dyDescent="0.25">
      <c r="B302" s="141" t="s">
        <v>2516</v>
      </c>
      <c r="C302" s="137" t="s">
        <v>2546</v>
      </c>
      <c r="D302" s="119" t="s">
        <v>175</v>
      </c>
      <c r="E302" s="119" t="s">
        <v>128</v>
      </c>
      <c r="F302" s="119" t="s">
        <v>128</v>
      </c>
      <c r="G302" s="120" t="s">
        <v>2369</v>
      </c>
    </row>
    <row r="303" spans="2:7" ht="29.25" customHeight="1" x14ac:dyDescent="0.25">
      <c r="B303" s="141" t="s">
        <v>2516</v>
      </c>
      <c r="C303" s="137" t="s">
        <v>2547</v>
      </c>
      <c r="D303" s="119" t="s">
        <v>175</v>
      </c>
      <c r="E303" s="119" t="s">
        <v>128</v>
      </c>
      <c r="F303" s="119" t="s">
        <v>128</v>
      </c>
      <c r="G303" s="120" t="s">
        <v>2374</v>
      </c>
    </row>
    <row r="304" spans="2:7" ht="29.25" customHeight="1" x14ac:dyDescent="0.25">
      <c r="B304" s="141" t="s">
        <v>2516</v>
      </c>
      <c r="C304" s="137" t="s">
        <v>2548</v>
      </c>
      <c r="D304" s="119" t="s">
        <v>175</v>
      </c>
      <c r="E304" s="119" t="s">
        <v>128</v>
      </c>
      <c r="F304" s="119" t="s">
        <v>128</v>
      </c>
      <c r="G304" s="120" t="s">
        <v>2374</v>
      </c>
    </row>
    <row r="305" spans="2:7" ht="29.25" customHeight="1" x14ac:dyDescent="0.25">
      <c r="B305" s="141" t="s">
        <v>2516</v>
      </c>
      <c r="C305" s="137" t="s">
        <v>2549</v>
      </c>
      <c r="D305" s="119" t="s">
        <v>175</v>
      </c>
      <c r="E305" s="119" t="s">
        <v>128</v>
      </c>
      <c r="F305" s="119" t="s">
        <v>128</v>
      </c>
      <c r="G305" s="120" t="s">
        <v>2379</v>
      </c>
    </row>
    <row r="306" spans="2:7" ht="29.25" customHeight="1" x14ac:dyDescent="0.25">
      <c r="B306" s="141" t="s">
        <v>2516</v>
      </c>
      <c r="C306" s="137" t="s">
        <v>2550</v>
      </c>
      <c r="D306" s="119" t="s">
        <v>175</v>
      </c>
      <c r="E306" s="119" t="s">
        <v>128</v>
      </c>
      <c r="F306" s="119" t="s">
        <v>128</v>
      </c>
      <c r="G306" s="120" t="s">
        <v>2379</v>
      </c>
    </row>
    <row r="307" spans="2:7" ht="29.25" customHeight="1" x14ac:dyDescent="0.25">
      <c r="B307" s="141" t="s">
        <v>2516</v>
      </c>
      <c r="C307" s="137" t="s">
        <v>2551</v>
      </c>
      <c r="D307" s="119" t="s">
        <v>175</v>
      </c>
      <c r="E307" s="119" t="s">
        <v>128</v>
      </c>
      <c r="F307" s="119" t="s">
        <v>128</v>
      </c>
      <c r="G307" s="120" t="s">
        <v>450</v>
      </c>
    </row>
    <row r="308" spans="2:7" ht="29.25" customHeight="1" x14ac:dyDescent="0.25">
      <c r="B308" s="141" t="s">
        <v>2516</v>
      </c>
      <c r="C308" s="137" t="s">
        <v>2552</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2554</v>
      </c>
      <c r="C330" s="133" t="s">
        <v>2555</v>
      </c>
      <c r="D330" s="110" t="s">
        <v>1794</v>
      </c>
      <c r="E330" s="110" t="s">
        <v>128</v>
      </c>
      <c r="F330" s="110" t="s">
        <v>128</v>
      </c>
      <c r="G330" s="111" t="s">
        <v>2556</v>
      </c>
    </row>
    <row r="331" spans="2:7" x14ac:dyDescent="0.25">
      <c r="B331" s="141" t="s">
        <v>2554</v>
      </c>
      <c r="C331" s="133" t="s">
        <v>2557</v>
      </c>
      <c r="D331" s="110" t="s">
        <v>1794</v>
      </c>
      <c r="E331" s="110" t="s">
        <v>128</v>
      </c>
      <c r="F331" s="110" t="s">
        <v>128</v>
      </c>
      <c r="G331" s="111" t="s">
        <v>2569</v>
      </c>
    </row>
    <row r="332" spans="2:7" x14ac:dyDescent="0.25">
      <c r="B332" s="141" t="s">
        <v>2554</v>
      </c>
      <c r="C332" s="133" t="s">
        <v>2558</v>
      </c>
      <c r="D332" s="110" t="s">
        <v>1794</v>
      </c>
      <c r="E332" s="110" t="s">
        <v>128</v>
      </c>
      <c r="F332" s="110" t="s">
        <v>128</v>
      </c>
      <c r="G332" s="111" t="s">
        <v>2570</v>
      </c>
    </row>
    <row r="333" spans="2:7" x14ac:dyDescent="0.25">
      <c r="B333" s="141" t="s">
        <v>2554</v>
      </c>
      <c r="C333" s="133" t="s">
        <v>2559</v>
      </c>
      <c r="D333" s="110" t="s">
        <v>1794</v>
      </c>
      <c r="E333" s="110" t="s">
        <v>128</v>
      </c>
      <c r="F333" s="110" t="s">
        <v>128</v>
      </c>
      <c r="G333" s="111" t="s">
        <v>2571</v>
      </c>
    </row>
    <row r="334" spans="2:7" x14ac:dyDescent="0.25">
      <c r="B334" s="141" t="s">
        <v>2554</v>
      </c>
      <c r="C334" s="133" t="s">
        <v>2560</v>
      </c>
      <c r="D334" s="110" t="s">
        <v>1794</v>
      </c>
      <c r="E334" s="110" t="s">
        <v>128</v>
      </c>
      <c r="F334" s="110" t="s">
        <v>128</v>
      </c>
      <c r="G334" s="111" t="s">
        <v>2572</v>
      </c>
    </row>
    <row r="335" spans="2:7" x14ac:dyDescent="0.25">
      <c r="B335" s="141" t="s">
        <v>2554</v>
      </c>
      <c r="C335" s="133" t="s">
        <v>2561</v>
      </c>
      <c r="D335" s="110" t="s">
        <v>1794</v>
      </c>
      <c r="E335" s="110" t="s">
        <v>128</v>
      </c>
      <c r="F335" s="110" t="s">
        <v>128</v>
      </c>
      <c r="G335" s="111" t="s">
        <v>2573</v>
      </c>
    </row>
    <row r="336" spans="2:7" x14ac:dyDescent="0.25">
      <c r="B336" s="141" t="s">
        <v>2554</v>
      </c>
      <c r="C336" s="133" t="s">
        <v>2562</v>
      </c>
      <c r="D336" s="110" t="s">
        <v>1794</v>
      </c>
      <c r="E336" s="110" t="s">
        <v>128</v>
      </c>
      <c r="F336" s="110" t="s">
        <v>128</v>
      </c>
      <c r="G336" s="111" t="s">
        <v>2574</v>
      </c>
    </row>
    <row r="337" spans="2:7" x14ac:dyDescent="0.25">
      <c r="B337" s="141" t="s">
        <v>2554</v>
      </c>
      <c r="C337" s="133" t="s">
        <v>2563</v>
      </c>
      <c r="D337" s="110" t="s">
        <v>1794</v>
      </c>
      <c r="E337" s="110" t="s">
        <v>128</v>
      </c>
      <c r="F337" s="110" t="s">
        <v>128</v>
      </c>
      <c r="G337" s="111" t="s">
        <v>2575</v>
      </c>
    </row>
    <row r="338" spans="2:7" x14ac:dyDescent="0.25">
      <c r="B338" s="141" t="s">
        <v>2554</v>
      </c>
      <c r="C338" s="133" t="s">
        <v>2564</v>
      </c>
      <c r="D338" s="110" t="s">
        <v>1794</v>
      </c>
      <c r="E338" s="110" t="s">
        <v>128</v>
      </c>
      <c r="F338" s="110" t="s">
        <v>128</v>
      </c>
      <c r="G338" s="111" t="s">
        <v>2576</v>
      </c>
    </row>
    <row r="339" spans="2:7" x14ac:dyDescent="0.25">
      <c r="B339" s="141" t="s">
        <v>2554</v>
      </c>
      <c r="C339" s="133" t="s">
        <v>2565</v>
      </c>
      <c r="D339" s="110" t="s">
        <v>1794</v>
      </c>
      <c r="E339" s="110" t="s">
        <v>128</v>
      </c>
      <c r="F339" s="110" t="s">
        <v>128</v>
      </c>
      <c r="G339" s="111" t="s">
        <v>2577</v>
      </c>
    </row>
    <row r="340" spans="2:7" x14ac:dyDescent="0.25">
      <c r="B340" s="141" t="s">
        <v>2554</v>
      </c>
      <c r="C340" s="133" t="s">
        <v>2566</v>
      </c>
      <c r="D340" s="110" t="s">
        <v>1794</v>
      </c>
      <c r="E340" s="110" t="s">
        <v>128</v>
      </c>
      <c r="F340" s="110" t="s">
        <v>128</v>
      </c>
      <c r="G340" s="111" t="s">
        <v>2578</v>
      </c>
    </row>
    <row r="341" spans="2:7" x14ac:dyDescent="0.25">
      <c r="B341" s="141" t="s">
        <v>2554</v>
      </c>
      <c r="C341" s="133" t="s">
        <v>2567</v>
      </c>
      <c r="D341" s="110" t="s">
        <v>1794</v>
      </c>
      <c r="E341" s="110" t="s">
        <v>128</v>
      </c>
      <c r="F341" s="110" t="s">
        <v>128</v>
      </c>
      <c r="G341" s="111" t="s">
        <v>2579</v>
      </c>
    </row>
    <row r="342" spans="2:7" x14ac:dyDescent="0.25">
      <c r="B342" s="141" t="s">
        <v>2554</v>
      </c>
      <c r="C342" s="133" t="s">
        <v>2568</v>
      </c>
      <c r="D342" s="110" t="s">
        <v>1794</v>
      </c>
      <c r="E342" s="110" t="s">
        <v>128</v>
      </c>
      <c r="F342" s="110" t="s">
        <v>128</v>
      </c>
      <c r="G342" s="111" t="s">
        <v>2580</v>
      </c>
    </row>
    <row r="343" spans="2:7" x14ac:dyDescent="0.25">
      <c r="B343" s="144" t="s">
        <v>2595</v>
      </c>
      <c r="C343" s="134" t="s">
        <v>2582</v>
      </c>
      <c r="D343" s="108" t="s">
        <v>2581</v>
      </c>
      <c r="E343" s="108" t="s">
        <v>128</v>
      </c>
      <c r="F343" s="108" t="s">
        <v>128</v>
      </c>
      <c r="G343" s="109" t="s">
        <v>2556</v>
      </c>
    </row>
    <row r="344" spans="2:7" x14ac:dyDescent="0.25">
      <c r="B344" s="141" t="s">
        <v>2595</v>
      </c>
      <c r="C344" s="133" t="s">
        <v>2583</v>
      </c>
      <c r="D344" s="110" t="s">
        <v>2581</v>
      </c>
      <c r="E344" s="110" t="s">
        <v>128</v>
      </c>
      <c r="F344" s="110" t="s">
        <v>128</v>
      </c>
      <c r="G344" s="111" t="s">
        <v>2569</v>
      </c>
    </row>
    <row r="345" spans="2:7" x14ac:dyDescent="0.25">
      <c r="B345" s="141" t="s">
        <v>2595</v>
      </c>
      <c r="C345" s="133" t="s">
        <v>2584</v>
      </c>
      <c r="D345" s="110" t="s">
        <v>2581</v>
      </c>
      <c r="E345" s="110" t="s">
        <v>128</v>
      </c>
      <c r="F345" s="110" t="s">
        <v>128</v>
      </c>
      <c r="G345" s="111" t="s">
        <v>2570</v>
      </c>
    </row>
    <row r="346" spans="2:7" x14ac:dyDescent="0.25">
      <c r="B346" s="141" t="s">
        <v>2595</v>
      </c>
      <c r="C346" s="133" t="s">
        <v>2585</v>
      </c>
      <c r="D346" s="110" t="s">
        <v>2581</v>
      </c>
      <c r="E346" s="110" t="s">
        <v>128</v>
      </c>
      <c r="F346" s="110" t="s">
        <v>128</v>
      </c>
      <c r="G346" s="111" t="s">
        <v>2571</v>
      </c>
    </row>
    <row r="347" spans="2:7" x14ac:dyDescent="0.25">
      <c r="B347" s="141" t="s">
        <v>2595</v>
      </c>
      <c r="C347" s="133" t="s">
        <v>2586</v>
      </c>
      <c r="D347" s="110" t="s">
        <v>2581</v>
      </c>
      <c r="E347" s="110" t="s">
        <v>128</v>
      </c>
      <c r="F347" s="110" t="s">
        <v>128</v>
      </c>
      <c r="G347" s="111" t="s">
        <v>2572</v>
      </c>
    </row>
    <row r="348" spans="2:7" x14ac:dyDescent="0.25">
      <c r="B348" s="141" t="s">
        <v>2595</v>
      </c>
      <c r="C348" s="133" t="s">
        <v>2587</v>
      </c>
      <c r="D348" s="110" t="s">
        <v>2581</v>
      </c>
      <c r="E348" s="110" t="s">
        <v>128</v>
      </c>
      <c r="F348" s="110" t="s">
        <v>128</v>
      </c>
      <c r="G348" s="111" t="s">
        <v>2573</v>
      </c>
    </row>
    <row r="349" spans="2:7" x14ac:dyDescent="0.25">
      <c r="B349" s="141" t="s">
        <v>2595</v>
      </c>
      <c r="C349" s="133" t="s">
        <v>2588</v>
      </c>
      <c r="D349" s="110" t="s">
        <v>2581</v>
      </c>
      <c r="E349" s="110" t="s">
        <v>128</v>
      </c>
      <c r="F349" s="110" t="s">
        <v>128</v>
      </c>
      <c r="G349" s="111" t="s">
        <v>2574</v>
      </c>
    </row>
    <row r="350" spans="2:7" x14ac:dyDescent="0.25">
      <c r="B350" s="141" t="s">
        <v>2595</v>
      </c>
      <c r="C350" s="133" t="s">
        <v>2589</v>
      </c>
      <c r="D350" s="110" t="s">
        <v>2581</v>
      </c>
      <c r="E350" s="110" t="s">
        <v>128</v>
      </c>
      <c r="F350" s="110" t="s">
        <v>128</v>
      </c>
      <c r="G350" s="111" t="s">
        <v>2575</v>
      </c>
    </row>
    <row r="351" spans="2:7" x14ac:dyDescent="0.25">
      <c r="B351" s="141" t="s">
        <v>2595</v>
      </c>
      <c r="C351" s="133" t="s">
        <v>2590</v>
      </c>
      <c r="D351" s="110" t="s">
        <v>2581</v>
      </c>
      <c r="E351" s="110" t="s">
        <v>128</v>
      </c>
      <c r="F351" s="110" t="s">
        <v>128</v>
      </c>
      <c r="G351" s="111" t="s">
        <v>2576</v>
      </c>
    </row>
    <row r="352" spans="2:7" x14ac:dyDescent="0.25">
      <c r="B352" s="141" t="s">
        <v>2595</v>
      </c>
      <c r="C352" s="133" t="s">
        <v>2591</v>
      </c>
      <c r="D352" s="110" t="s">
        <v>2581</v>
      </c>
      <c r="E352" s="110" t="s">
        <v>128</v>
      </c>
      <c r="F352" s="110" t="s">
        <v>128</v>
      </c>
      <c r="G352" s="111" t="s">
        <v>2577</v>
      </c>
    </row>
    <row r="353" spans="2:7" x14ac:dyDescent="0.25">
      <c r="B353" s="141" t="s">
        <v>2595</v>
      </c>
      <c r="C353" s="133" t="s">
        <v>2592</v>
      </c>
      <c r="D353" s="110" t="s">
        <v>2581</v>
      </c>
      <c r="E353" s="110" t="s">
        <v>128</v>
      </c>
      <c r="F353" s="110" t="s">
        <v>128</v>
      </c>
      <c r="G353" s="111" t="s">
        <v>2578</v>
      </c>
    </row>
    <row r="354" spans="2:7" x14ac:dyDescent="0.25">
      <c r="B354" s="141" t="s">
        <v>2595</v>
      </c>
      <c r="C354" s="133" t="s">
        <v>2593</v>
      </c>
      <c r="D354" s="110" t="s">
        <v>2581</v>
      </c>
      <c r="E354" s="110" t="s">
        <v>128</v>
      </c>
      <c r="F354" s="110" t="s">
        <v>128</v>
      </c>
      <c r="G354" s="111" t="s">
        <v>2579</v>
      </c>
    </row>
    <row r="355" spans="2:7" x14ac:dyDescent="0.25">
      <c r="B355" s="141" t="s">
        <v>2595</v>
      </c>
      <c r="C355" s="133" t="s">
        <v>2594</v>
      </c>
      <c r="D355" s="110" t="s">
        <v>2581</v>
      </c>
      <c r="E355" s="110" t="s">
        <v>128</v>
      </c>
      <c r="F355" s="110" t="s">
        <v>128</v>
      </c>
      <c r="G355" s="111" t="s">
        <v>2580</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1792</v>
      </c>
      <c r="F359" s="115" t="s">
        <v>128</v>
      </c>
      <c r="G359" s="118" t="s">
        <v>502</v>
      </c>
    </row>
    <row r="360" spans="2:7" ht="25.5" x14ac:dyDescent="0.25">
      <c r="B360" s="143" t="s">
        <v>1687</v>
      </c>
      <c r="C360" s="136" t="s">
        <v>503</v>
      </c>
      <c r="D360" s="115" t="s">
        <v>1656</v>
      </c>
      <c r="E360" s="115" t="s">
        <v>1792</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1793</v>
      </c>
      <c r="D397" s="166" t="s">
        <v>1794</v>
      </c>
      <c r="E397" s="166" t="s">
        <v>128</v>
      </c>
      <c r="F397" s="166" t="s">
        <v>128</v>
      </c>
      <c r="G397" s="167" t="s">
        <v>1795</v>
      </c>
    </row>
    <row r="398" spans="2:7" x14ac:dyDescent="0.25">
      <c r="B398" s="141" t="s">
        <v>1690</v>
      </c>
      <c r="C398" s="137" t="s">
        <v>1796</v>
      </c>
      <c r="D398" s="166" t="s">
        <v>1794</v>
      </c>
      <c r="E398" s="166" t="s">
        <v>128</v>
      </c>
      <c r="F398" s="166" t="s">
        <v>128</v>
      </c>
      <c r="G398" s="167" t="s">
        <v>1797</v>
      </c>
    </row>
    <row r="399" spans="2:7" x14ac:dyDescent="0.25">
      <c r="B399" s="141" t="s">
        <v>1690</v>
      </c>
      <c r="C399" s="137" t="s">
        <v>1798</v>
      </c>
      <c r="D399" s="166" t="s">
        <v>1794</v>
      </c>
      <c r="E399" s="166" t="s">
        <v>128</v>
      </c>
      <c r="F399" s="166" t="s">
        <v>128</v>
      </c>
      <c r="G399" s="167" t="s">
        <v>1799</v>
      </c>
    </row>
    <row r="400" spans="2:7" x14ac:dyDescent="0.25">
      <c r="B400" s="141" t="s">
        <v>1690</v>
      </c>
      <c r="C400" s="137" t="s">
        <v>1800</v>
      </c>
      <c r="D400" s="166" t="s">
        <v>1794</v>
      </c>
      <c r="E400" s="166" t="s">
        <v>128</v>
      </c>
      <c r="F400" s="166" t="s">
        <v>128</v>
      </c>
      <c r="G400" s="167" t="s">
        <v>1801</v>
      </c>
    </row>
    <row r="401" spans="2:7" x14ac:dyDescent="0.25">
      <c r="B401" s="141" t="s">
        <v>1690</v>
      </c>
      <c r="C401" s="137" t="s">
        <v>1802</v>
      </c>
      <c r="D401" s="166" t="s">
        <v>1794</v>
      </c>
      <c r="E401" s="166" t="s">
        <v>128</v>
      </c>
      <c r="F401" s="166" t="s">
        <v>128</v>
      </c>
      <c r="G401" s="167" t="s">
        <v>1803</v>
      </c>
    </row>
    <row r="402" spans="2:7" x14ac:dyDescent="0.25">
      <c r="B402" s="141" t="s">
        <v>1690</v>
      </c>
      <c r="C402" s="137" t="s">
        <v>1804</v>
      </c>
      <c r="D402" s="166" t="s">
        <v>1794</v>
      </c>
      <c r="E402" s="166" t="s">
        <v>128</v>
      </c>
      <c r="F402" s="166" t="s">
        <v>128</v>
      </c>
      <c r="G402" s="167" t="s">
        <v>1805</v>
      </c>
    </row>
    <row r="403" spans="2:7" x14ac:dyDescent="0.25">
      <c r="B403" s="141" t="s">
        <v>1690</v>
      </c>
      <c r="C403" s="137" t="s">
        <v>1806</v>
      </c>
      <c r="D403" s="166" t="s">
        <v>1794</v>
      </c>
      <c r="E403" s="166" t="s">
        <v>128</v>
      </c>
      <c r="F403" s="166" t="s">
        <v>128</v>
      </c>
      <c r="G403" s="167" t="s">
        <v>1807</v>
      </c>
    </row>
    <row r="404" spans="2:7" x14ac:dyDescent="0.25">
      <c r="B404" s="141" t="s">
        <v>1690</v>
      </c>
      <c r="C404" s="137" t="s">
        <v>1808</v>
      </c>
      <c r="D404" s="166" t="s">
        <v>1794</v>
      </c>
      <c r="E404" s="166" t="s">
        <v>128</v>
      </c>
      <c r="F404" s="166" t="s">
        <v>128</v>
      </c>
      <c r="G404" s="167" t="s">
        <v>1809</v>
      </c>
    </row>
    <row r="405" spans="2:7" x14ac:dyDescent="0.25">
      <c r="B405" s="141" t="s">
        <v>1690</v>
      </c>
      <c r="C405" s="137" t="s">
        <v>1810</v>
      </c>
      <c r="D405" s="166" t="s">
        <v>1794</v>
      </c>
      <c r="E405" s="166" t="s">
        <v>128</v>
      </c>
      <c r="F405" s="166" t="s">
        <v>128</v>
      </c>
      <c r="G405" s="167" t="s">
        <v>1811</v>
      </c>
    </row>
    <row r="406" spans="2:7" x14ac:dyDescent="0.25">
      <c r="B406" s="141" t="s">
        <v>1690</v>
      </c>
      <c r="C406" s="137" t="s">
        <v>1812</v>
      </c>
      <c r="D406" s="166" t="s">
        <v>1794</v>
      </c>
      <c r="E406" s="166" t="s">
        <v>128</v>
      </c>
      <c r="F406" s="166" t="s">
        <v>128</v>
      </c>
      <c r="G406" s="167" t="s">
        <v>1813</v>
      </c>
    </row>
    <row r="407" spans="2:7" x14ac:dyDescent="0.25">
      <c r="B407" s="141" t="s">
        <v>1690</v>
      </c>
      <c r="C407" s="137" t="s">
        <v>1814</v>
      </c>
      <c r="D407" s="166" t="s">
        <v>1794</v>
      </c>
      <c r="E407" s="166" t="s">
        <v>128</v>
      </c>
      <c r="F407" s="166" t="s">
        <v>128</v>
      </c>
      <c r="G407" s="167" t="s">
        <v>1815</v>
      </c>
    </row>
    <row r="408" spans="2:7" x14ac:dyDescent="0.25">
      <c r="B408" s="141" t="s">
        <v>1690</v>
      </c>
      <c r="C408" s="137" t="s">
        <v>1816</v>
      </c>
      <c r="D408" s="166" t="s">
        <v>1794</v>
      </c>
      <c r="E408" s="166" t="s">
        <v>128</v>
      </c>
      <c r="F408" s="166" t="s">
        <v>128</v>
      </c>
      <c r="G408" s="167" t="s">
        <v>1817</v>
      </c>
    </row>
    <row r="409" spans="2:7" x14ac:dyDescent="0.25">
      <c r="B409" s="141" t="s">
        <v>1690</v>
      </c>
      <c r="C409" s="137" t="s">
        <v>1818</v>
      </c>
      <c r="D409" s="166" t="s">
        <v>1794</v>
      </c>
      <c r="E409" s="166" t="s">
        <v>128</v>
      </c>
      <c r="F409" s="166" t="s">
        <v>128</v>
      </c>
      <c r="G409" s="167" t="s">
        <v>1819</v>
      </c>
    </row>
    <row r="410" spans="2:7" x14ac:dyDescent="0.25">
      <c r="B410" s="141" t="s">
        <v>1690</v>
      </c>
      <c r="C410" s="137" t="s">
        <v>1820</v>
      </c>
      <c r="D410" s="166" t="s">
        <v>1794</v>
      </c>
      <c r="E410" s="166" t="s">
        <v>128</v>
      </c>
      <c r="F410" s="166" t="s">
        <v>128</v>
      </c>
      <c r="G410" s="167" t="s">
        <v>1824</v>
      </c>
    </row>
    <row r="411" spans="2:7" x14ac:dyDescent="0.25">
      <c r="B411" s="141" t="s">
        <v>1690</v>
      </c>
      <c r="C411" s="137" t="s">
        <v>1821</v>
      </c>
      <c r="D411" s="166" t="s">
        <v>1794</v>
      </c>
      <c r="E411" s="166" t="s">
        <v>128</v>
      </c>
      <c r="F411" s="166" t="s">
        <v>128</v>
      </c>
      <c r="G411" s="167" t="s">
        <v>1823</v>
      </c>
    </row>
    <row r="412" spans="2:7" x14ac:dyDescent="0.25">
      <c r="B412" s="141" t="s">
        <v>1690</v>
      </c>
      <c r="C412" s="137" t="s">
        <v>1822</v>
      </c>
      <c r="D412" s="166" t="s">
        <v>1794</v>
      </c>
      <c r="E412" s="166" t="s">
        <v>128</v>
      </c>
      <c r="F412" s="166" t="s">
        <v>128</v>
      </c>
      <c r="G412" s="167" t="s">
        <v>1825</v>
      </c>
    </row>
    <row r="413" spans="2:7" x14ac:dyDescent="0.25">
      <c r="B413" s="141" t="s">
        <v>1690</v>
      </c>
      <c r="C413" s="137" t="s">
        <v>1826</v>
      </c>
      <c r="D413" s="166" t="s">
        <v>1794</v>
      </c>
      <c r="E413" s="166" t="s">
        <v>128</v>
      </c>
      <c r="F413" s="166" t="s">
        <v>128</v>
      </c>
      <c r="G413" s="167" t="s">
        <v>549</v>
      </c>
    </row>
    <row r="414" spans="2:7" x14ac:dyDescent="0.25">
      <c r="B414" s="141" t="s">
        <v>1690</v>
      </c>
      <c r="C414" s="137" t="s">
        <v>1827</v>
      </c>
      <c r="D414" s="166" t="s">
        <v>1794</v>
      </c>
      <c r="E414" s="166" t="s">
        <v>128</v>
      </c>
      <c r="F414" s="166" t="s">
        <v>128</v>
      </c>
      <c r="G414" s="167" t="s">
        <v>557</v>
      </c>
    </row>
    <row r="415" spans="2:7" x14ac:dyDescent="0.25">
      <c r="B415" s="141" t="s">
        <v>1690</v>
      </c>
      <c r="C415" s="137" t="s">
        <v>1828</v>
      </c>
      <c r="D415" s="166" t="s">
        <v>1794</v>
      </c>
      <c r="E415" s="166" t="s">
        <v>128</v>
      </c>
      <c r="F415" s="166" t="s">
        <v>128</v>
      </c>
      <c r="G415" s="167" t="s">
        <v>561</v>
      </c>
    </row>
    <row r="416" spans="2:7" x14ac:dyDescent="0.25">
      <c r="B416" s="141" t="s">
        <v>1690</v>
      </c>
      <c r="C416" s="137" t="s">
        <v>1829</v>
      </c>
      <c r="D416" s="166" t="s">
        <v>1794</v>
      </c>
      <c r="E416" s="166" t="s">
        <v>128</v>
      </c>
      <c r="F416" s="166" t="s">
        <v>128</v>
      </c>
      <c r="G416" s="167" t="s">
        <v>565</v>
      </c>
    </row>
    <row r="417" spans="2:7" x14ac:dyDescent="0.25">
      <c r="B417" s="141" t="s">
        <v>1690</v>
      </c>
      <c r="C417" s="137" t="s">
        <v>1830</v>
      </c>
      <c r="D417" s="166" t="s">
        <v>1794</v>
      </c>
      <c r="E417" s="166" t="s">
        <v>128</v>
      </c>
      <c r="F417" s="166" t="s">
        <v>128</v>
      </c>
      <c r="G417" s="167" t="s">
        <v>1831</v>
      </c>
    </row>
    <row r="418" spans="2:7" x14ac:dyDescent="0.25">
      <c r="B418" s="141" t="s">
        <v>1690</v>
      </c>
      <c r="C418" s="137" t="s">
        <v>1832</v>
      </c>
      <c r="D418" s="166" t="s">
        <v>1794</v>
      </c>
      <c r="E418" s="166" t="s">
        <v>128</v>
      </c>
      <c r="F418" s="166" t="s">
        <v>128</v>
      </c>
      <c r="G418" s="167" t="s">
        <v>1834</v>
      </c>
    </row>
    <row r="419" spans="2:7" x14ac:dyDescent="0.25">
      <c r="B419" s="141" t="s">
        <v>1690</v>
      </c>
      <c r="C419" s="137" t="s">
        <v>1833</v>
      </c>
      <c r="D419" s="166" t="s">
        <v>1794</v>
      </c>
      <c r="E419" s="166" t="s">
        <v>128</v>
      </c>
      <c r="F419" s="166" t="s">
        <v>128</v>
      </c>
      <c r="G419" s="167" t="s">
        <v>1835</v>
      </c>
    </row>
    <row r="420" spans="2:7" x14ac:dyDescent="0.25">
      <c r="B420" s="141" t="s">
        <v>1690</v>
      </c>
      <c r="C420" s="137" t="s">
        <v>1836</v>
      </c>
      <c r="D420" s="166" t="s">
        <v>1794</v>
      </c>
      <c r="E420" s="166" t="s">
        <v>128</v>
      </c>
      <c r="F420" s="166" t="s">
        <v>128</v>
      </c>
      <c r="G420" s="167" t="s">
        <v>1839</v>
      </c>
    </row>
    <row r="421" spans="2:7" x14ac:dyDescent="0.25">
      <c r="B421" s="141" t="s">
        <v>1690</v>
      </c>
      <c r="C421" s="137" t="s">
        <v>1837</v>
      </c>
      <c r="D421" s="166" t="s">
        <v>1794</v>
      </c>
      <c r="E421" s="166" t="s">
        <v>128</v>
      </c>
      <c r="F421" s="166" t="s">
        <v>128</v>
      </c>
      <c r="G421" s="167" t="s">
        <v>1840</v>
      </c>
    </row>
    <row r="422" spans="2:7" x14ac:dyDescent="0.25">
      <c r="B422" s="141" t="s">
        <v>1690</v>
      </c>
      <c r="C422" s="137" t="s">
        <v>1838</v>
      </c>
      <c r="D422" s="166" t="s">
        <v>1794</v>
      </c>
      <c r="E422" s="166" t="s">
        <v>128</v>
      </c>
      <c r="F422" s="166" t="s">
        <v>128</v>
      </c>
      <c r="G422" s="167" t="s">
        <v>1841</v>
      </c>
    </row>
    <row r="423" spans="2:7" x14ac:dyDescent="0.25">
      <c r="B423" s="141" t="s">
        <v>1690</v>
      </c>
      <c r="C423" s="137" t="s">
        <v>1842</v>
      </c>
      <c r="D423" s="166" t="s">
        <v>1794</v>
      </c>
      <c r="E423" s="166" t="s">
        <v>128</v>
      </c>
      <c r="F423" s="166" t="s">
        <v>128</v>
      </c>
      <c r="G423" s="167" t="s">
        <v>1843</v>
      </c>
    </row>
    <row r="424" spans="2:7" x14ac:dyDescent="0.25">
      <c r="B424" s="141" t="s">
        <v>1690</v>
      </c>
      <c r="C424" s="137" t="s">
        <v>1844</v>
      </c>
      <c r="D424" s="166" t="s">
        <v>1794</v>
      </c>
      <c r="E424" s="166" t="s">
        <v>128</v>
      </c>
      <c r="F424" s="166" t="s">
        <v>128</v>
      </c>
      <c r="G424" s="167" t="s">
        <v>1845</v>
      </c>
    </row>
    <row r="425" spans="2:7" x14ac:dyDescent="0.25">
      <c r="B425" s="141" t="s">
        <v>1690</v>
      </c>
      <c r="C425" s="137" t="s">
        <v>1846</v>
      </c>
      <c r="D425" s="166" t="s">
        <v>1794</v>
      </c>
      <c r="E425" s="166" t="s">
        <v>128</v>
      </c>
      <c r="F425" s="166" t="s">
        <v>128</v>
      </c>
      <c r="G425" s="167" t="s">
        <v>1851</v>
      </c>
    </row>
    <row r="426" spans="2:7" x14ac:dyDescent="0.25">
      <c r="B426" s="141" t="s">
        <v>1690</v>
      </c>
      <c r="C426" s="137" t="s">
        <v>1847</v>
      </c>
      <c r="D426" s="166" t="s">
        <v>1794</v>
      </c>
      <c r="E426" s="166" t="s">
        <v>128</v>
      </c>
      <c r="F426" s="166" t="s">
        <v>128</v>
      </c>
      <c r="G426" s="167" t="s">
        <v>1852</v>
      </c>
    </row>
    <row r="427" spans="2:7" x14ac:dyDescent="0.25">
      <c r="B427" s="141" t="s">
        <v>1690</v>
      </c>
      <c r="C427" s="137" t="s">
        <v>1848</v>
      </c>
      <c r="D427" s="166" t="s">
        <v>1794</v>
      </c>
      <c r="E427" s="166" t="s">
        <v>128</v>
      </c>
      <c r="F427" s="166" t="s">
        <v>128</v>
      </c>
      <c r="G427" s="167" t="s">
        <v>1853</v>
      </c>
    </row>
    <row r="428" spans="2:7" x14ac:dyDescent="0.25">
      <c r="B428" s="141" t="s">
        <v>1690</v>
      </c>
      <c r="C428" s="137" t="s">
        <v>1849</v>
      </c>
      <c r="D428" s="166" t="s">
        <v>1794</v>
      </c>
      <c r="E428" s="166" t="s">
        <v>128</v>
      </c>
      <c r="F428" s="166" t="s">
        <v>128</v>
      </c>
      <c r="G428" s="167" t="s">
        <v>1854</v>
      </c>
    </row>
    <row r="429" spans="2:7" x14ac:dyDescent="0.25">
      <c r="B429" s="141" t="s">
        <v>1690</v>
      </c>
      <c r="C429" s="137" t="s">
        <v>1850</v>
      </c>
      <c r="D429" s="166" t="s">
        <v>1794</v>
      </c>
      <c r="E429" s="166" t="s">
        <v>128</v>
      </c>
      <c r="F429" s="166" t="s">
        <v>128</v>
      </c>
      <c r="G429" s="167" t="s">
        <v>1855</v>
      </c>
    </row>
    <row r="430" spans="2:7" x14ac:dyDescent="0.25">
      <c r="B430" s="141" t="s">
        <v>1690</v>
      </c>
      <c r="C430" s="137" t="s">
        <v>1856</v>
      </c>
      <c r="D430" s="166" t="s">
        <v>1794</v>
      </c>
      <c r="E430" s="166" t="s">
        <v>128</v>
      </c>
      <c r="F430" s="166" t="s">
        <v>128</v>
      </c>
      <c r="G430" s="167" t="s">
        <v>1858</v>
      </c>
    </row>
    <row r="431" spans="2:7" x14ac:dyDescent="0.25">
      <c r="B431" s="141" t="s">
        <v>1690</v>
      </c>
      <c r="C431" s="137" t="s">
        <v>1857</v>
      </c>
      <c r="D431" s="166" t="s">
        <v>1794</v>
      </c>
      <c r="E431" s="166" t="s">
        <v>128</v>
      </c>
      <c r="F431" s="166" t="s">
        <v>128</v>
      </c>
      <c r="G431" s="167" t="s">
        <v>1859</v>
      </c>
    </row>
    <row r="432" spans="2:7" x14ac:dyDescent="0.25">
      <c r="B432" s="141" t="s">
        <v>1690</v>
      </c>
      <c r="C432" s="137" t="s">
        <v>1860</v>
      </c>
      <c r="D432" s="166" t="s">
        <v>1794</v>
      </c>
      <c r="E432" s="166" t="s">
        <v>128</v>
      </c>
      <c r="F432" s="166" t="s">
        <v>128</v>
      </c>
      <c r="G432" s="167" t="s">
        <v>1862</v>
      </c>
    </row>
    <row r="433" spans="2:7" x14ac:dyDescent="0.25">
      <c r="B433" s="141" t="s">
        <v>1690</v>
      </c>
      <c r="C433" s="137" t="s">
        <v>1861</v>
      </c>
      <c r="D433" s="166" t="s">
        <v>1794</v>
      </c>
      <c r="E433" s="166" t="s">
        <v>128</v>
      </c>
      <c r="F433" s="166" t="s">
        <v>128</v>
      </c>
      <c r="G433" s="167" t="s">
        <v>1863</v>
      </c>
    </row>
    <row r="434" spans="2:7" x14ac:dyDescent="0.25">
      <c r="B434" s="141" t="s">
        <v>1690</v>
      </c>
      <c r="C434" s="137" t="s">
        <v>1907</v>
      </c>
      <c r="D434" s="166" t="s">
        <v>1794</v>
      </c>
      <c r="E434" s="166" t="s">
        <v>128</v>
      </c>
      <c r="F434" s="166" t="s">
        <v>128</v>
      </c>
      <c r="G434" s="167" t="s">
        <v>1864</v>
      </c>
    </row>
    <row r="435" spans="2:7" x14ac:dyDescent="0.25">
      <c r="B435" s="141" t="s">
        <v>1690</v>
      </c>
      <c r="C435" s="137" t="s">
        <v>1865</v>
      </c>
      <c r="D435" s="166" t="s">
        <v>1794</v>
      </c>
      <c r="E435" s="166" t="s">
        <v>128</v>
      </c>
      <c r="F435" s="166" t="s">
        <v>128</v>
      </c>
      <c r="G435" s="167" t="s">
        <v>1795</v>
      </c>
    </row>
    <row r="436" spans="2:7" x14ac:dyDescent="0.25">
      <c r="B436" s="141" t="s">
        <v>1690</v>
      </c>
      <c r="C436" s="137" t="s">
        <v>1866</v>
      </c>
      <c r="D436" s="166" t="s">
        <v>1794</v>
      </c>
      <c r="E436" s="166" t="s">
        <v>128</v>
      </c>
      <c r="F436" s="166" t="s">
        <v>128</v>
      </c>
      <c r="G436" s="167" t="s">
        <v>1797</v>
      </c>
    </row>
    <row r="437" spans="2:7" x14ac:dyDescent="0.25">
      <c r="B437" s="141" t="s">
        <v>1690</v>
      </c>
      <c r="C437" s="137" t="s">
        <v>1867</v>
      </c>
      <c r="D437" s="166" t="s">
        <v>1794</v>
      </c>
      <c r="E437" s="166" t="s">
        <v>128</v>
      </c>
      <c r="F437" s="166" t="s">
        <v>128</v>
      </c>
      <c r="G437" s="167" t="s">
        <v>1799</v>
      </c>
    </row>
    <row r="438" spans="2:7" x14ac:dyDescent="0.25">
      <c r="B438" s="141" t="s">
        <v>1690</v>
      </c>
      <c r="C438" s="137" t="s">
        <v>1868</v>
      </c>
      <c r="D438" s="166" t="s">
        <v>1794</v>
      </c>
      <c r="E438" s="166" t="s">
        <v>128</v>
      </c>
      <c r="F438" s="166" t="s">
        <v>128</v>
      </c>
      <c r="G438" s="167" t="s">
        <v>1801</v>
      </c>
    </row>
    <row r="439" spans="2:7" x14ac:dyDescent="0.25">
      <c r="B439" s="141" t="s">
        <v>1690</v>
      </c>
      <c r="C439" s="137" t="s">
        <v>1869</v>
      </c>
      <c r="D439" s="166" t="s">
        <v>1794</v>
      </c>
      <c r="E439" s="166" t="s">
        <v>128</v>
      </c>
      <c r="F439" s="166" t="s">
        <v>128</v>
      </c>
      <c r="G439" s="167" t="s">
        <v>1803</v>
      </c>
    </row>
    <row r="440" spans="2:7" x14ac:dyDescent="0.25">
      <c r="B440" s="141" t="s">
        <v>1690</v>
      </c>
      <c r="C440" s="137" t="s">
        <v>1870</v>
      </c>
      <c r="D440" s="166" t="s">
        <v>1794</v>
      </c>
      <c r="E440" s="166" t="s">
        <v>128</v>
      </c>
      <c r="F440" s="166" t="s">
        <v>128</v>
      </c>
      <c r="G440" s="167" t="s">
        <v>1805</v>
      </c>
    </row>
    <row r="441" spans="2:7" x14ac:dyDescent="0.25">
      <c r="B441" s="141" t="s">
        <v>1690</v>
      </c>
      <c r="C441" s="137" t="s">
        <v>1871</v>
      </c>
      <c r="D441" s="166" t="s">
        <v>1794</v>
      </c>
      <c r="E441" s="166" t="s">
        <v>128</v>
      </c>
      <c r="F441" s="166" t="s">
        <v>128</v>
      </c>
      <c r="G441" s="167" t="s">
        <v>1807</v>
      </c>
    </row>
    <row r="442" spans="2:7" x14ac:dyDescent="0.25">
      <c r="B442" s="141" t="s">
        <v>1690</v>
      </c>
      <c r="C442" s="137" t="s">
        <v>1872</v>
      </c>
      <c r="D442" s="166" t="s">
        <v>1794</v>
      </c>
      <c r="E442" s="166" t="s">
        <v>128</v>
      </c>
      <c r="F442" s="166" t="s">
        <v>128</v>
      </c>
      <c r="G442" s="167" t="s">
        <v>1875</v>
      </c>
    </row>
    <row r="443" spans="2:7" x14ac:dyDescent="0.25">
      <c r="B443" s="141" t="s">
        <v>1690</v>
      </c>
      <c r="C443" s="137" t="s">
        <v>1873</v>
      </c>
      <c r="D443" s="166" t="s">
        <v>1794</v>
      </c>
      <c r="E443" s="166" t="s">
        <v>128</v>
      </c>
      <c r="F443" s="166" t="s">
        <v>128</v>
      </c>
      <c r="G443" s="167" t="s">
        <v>1876</v>
      </c>
    </row>
    <row r="444" spans="2:7" x14ac:dyDescent="0.25">
      <c r="B444" s="141" t="s">
        <v>1690</v>
      </c>
      <c r="C444" s="137" t="s">
        <v>1874</v>
      </c>
      <c r="D444" s="166" t="s">
        <v>1794</v>
      </c>
      <c r="E444" s="166" t="s">
        <v>128</v>
      </c>
      <c r="F444" s="166" t="s">
        <v>128</v>
      </c>
      <c r="G444" s="167" t="s">
        <v>1877</v>
      </c>
    </row>
    <row r="445" spans="2:7" x14ac:dyDescent="0.25">
      <c r="B445" s="141" t="s">
        <v>1690</v>
      </c>
      <c r="C445" s="137" t="s">
        <v>1878</v>
      </c>
      <c r="D445" s="166" t="s">
        <v>1794</v>
      </c>
      <c r="E445" s="166" t="s">
        <v>128</v>
      </c>
      <c r="F445" s="166" t="s">
        <v>128</v>
      </c>
      <c r="G445" s="167" t="s">
        <v>1815</v>
      </c>
    </row>
    <row r="446" spans="2:7" x14ac:dyDescent="0.25">
      <c r="B446" s="141" t="s">
        <v>1690</v>
      </c>
      <c r="C446" s="137" t="s">
        <v>1879</v>
      </c>
      <c r="D446" s="166" t="s">
        <v>1794</v>
      </c>
      <c r="E446" s="166" t="s">
        <v>128</v>
      </c>
      <c r="F446" s="166" t="s">
        <v>128</v>
      </c>
      <c r="G446" s="167" t="s">
        <v>1817</v>
      </c>
    </row>
    <row r="447" spans="2:7" x14ac:dyDescent="0.25">
      <c r="B447" s="141" t="s">
        <v>1690</v>
      </c>
      <c r="C447" s="137" t="s">
        <v>1880</v>
      </c>
      <c r="D447" s="166" t="s">
        <v>1794</v>
      </c>
      <c r="E447" s="166" t="s">
        <v>128</v>
      </c>
      <c r="F447" s="166" t="s">
        <v>128</v>
      </c>
      <c r="G447" s="167" t="s">
        <v>1819</v>
      </c>
    </row>
    <row r="448" spans="2:7" x14ac:dyDescent="0.25">
      <c r="B448" s="141" t="s">
        <v>1690</v>
      </c>
      <c r="C448" s="137" t="s">
        <v>1881</v>
      </c>
      <c r="D448" s="166" t="s">
        <v>1794</v>
      </c>
      <c r="E448" s="166" t="s">
        <v>128</v>
      </c>
      <c r="F448" s="166" t="s">
        <v>128</v>
      </c>
      <c r="G448" s="167" t="s">
        <v>1824</v>
      </c>
    </row>
    <row r="449" spans="2:7" x14ac:dyDescent="0.25">
      <c r="B449" s="141" t="s">
        <v>1690</v>
      </c>
      <c r="C449" s="137" t="s">
        <v>1882</v>
      </c>
      <c r="D449" s="166" t="s">
        <v>1794</v>
      </c>
      <c r="E449" s="166" t="s">
        <v>128</v>
      </c>
      <c r="F449" s="166" t="s">
        <v>128</v>
      </c>
      <c r="G449" s="167" t="s">
        <v>1823</v>
      </c>
    </row>
    <row r="450" spans="2:7" x14ac:dyDescent="0.25">
      <c r="B450" s="141" t="s">
        <v>1690</v>
      </c>
      <c r="C450" s="137" t="s">
        <v>1883</v>
      </c>
      <c r="D450" s="166" t="s">
        <v>1794</v>
      </c>
      <c r="E450" s="166" t="s">
        <v>128</v>
      </c>
      <c r="F450" s="166" t="s">
        <v>128</v>
      </c>
      <c r="G450" s="167" t="s">
        <v>1825</v>
      </c>
    </row>
    <row r="451" spans="2:7" x14ac:dyDescent="0.25">
      <c r="B451" s="141" t="s">
        <v>1690</v>
      </c>
      <c r="C451" s="137" t="s">
        <v>1884</v>
      </c>
      <c r="D451" s="166" t="s">
        <v>1794</v>
      </c>
      <c r="E451" s="166" t="s">
        <v>128</v>
      </c>
      <c r="F451" s="166" t="s">
        <v>128</v>
      </c>
      <c r="G451" s="167" t="s">
        <v>549</v>
      </c>
    </row>
    <row r="452" spans="2:7" x14ac:dyDescent="0.25">
      <c r="B452" s="141" t="s">
        <v>1690</v>
      </c>
      <c r="C452" s="137" t="s">
        <v>1885</v>
      </c>
      <c r="D452" s="166" t="s">
        <v>1794</v>
      </c>
      <c r="E452" s="166" t="s">
        <v>128</v>
      </c>
      <c r="F452" s="166" t="s">
        <v>128</v>
      </c>
      <c r="G452" s="167" t="s">
        <v>557</v>
      </c>
    </row>
    <row r="453" spans="2:7" x14ac:dyDescent="0.25">
      <c r="B453" s="141" t="s">
        <v>1690</v>
      </c>
      <c r="C453" s="137" t="s">
        <v>1886</v>
      </c>
      <c r="D453" s="166" t="s">
        <v>1794</v>
      </c>
      <c r="E453" s="166" t="s">
        <v>128</v>
      </c>
      <c r="F453" s="166" t="s">
        <v>128</v>
      </c>
      <c r="G453" s="167" t="s">
        <v>561</v>
      </c>
    </row>
    <row r="454" spans="2:7" x14ac:dyDescent="0.25">
      <c r="B454" s="141" t="s">
        <v>1690</v>
      </c>
      <c r="C454" s="137" t="s">
        <v>1887</v>
      </c>
      <c r="D454" s="166" t="s">
        <v>1794</v>
      </c>
      <c r="E454" s="166" t="s">
        <v>128</v>
      </c>
      <c r="F454" s="166" t="s">
        <v>128</v>
      </c>
      <c r="G454" s="167" t="s">
        <v>565</v>
      </c>
    </row>
    <row r="455" spans="2:7" x14ac:dyDescent="0.25">
      <c r="B455" s="141" t="s">
        <v>1690</v>
      </c>
      <c r="C455" s="137" t="s">
        <v>1888</v>
      </c>
      <c r="D455" s="166" t="s">
        <v>1794</v>
      </c>
      <c r="E455" s="166" t="s">
        <v>128</v>
      </c>
      <c r="F455" s="166" t="s">
        <v>128</v>
      </c>
      <c r="G455" s="167" t="s">
        <v>1831</v>
      </c>
    </row>
    <row r="456" spans="2:7" x14ac:dyDescent="0.25">
      <c r="B456" s="141" t="s">
        <v>1690</v>
      </c>
      <c r="C456" s="137" t="s">
        <v>1889</v>
      </c>
      <c r="D456" s="166" t="s">
        <v>1794</v>
      </c>
      <c r="E456" s="166" t="s">
        <v>128</v>
      </c>
      <c r="F456" s="166" t="s">
        <v>128</v>
      </c>
      <c r="G456" s="167" t="s">
        <v>1834</v>
      </c>
    </row>
    <row r="457" spans="2:7" x14ac:dyDescent="0.25">
      <c r="B457" s="141" t="s">
        <v>1690</v>
      </c>
      <c r="C457" s="137" t="s">
        <v>1890</v>
      </c>
      <c r="D457" s="166" t="s">
        <v>1794</v>
      </c>
      <c r="E457" s="166" t="s">
        <v>128</v>
      </c>
      <c r="F457" s="166" t="s">
        <v>128</v>
      </c>
      <c r="G457" s="167" t="s">
        <v>1835</v>
      </c>
    </row>
    <row r="458" spans="2:7" x14ac:dyDescent="0.25">
      <c r="B458" s="141" t="s">
        <v>1690</v>
      </c>
      <c r="C458" s="137" t="s">
        <v>1891</v>
      </c>
      <c r="D458" s="166" t="s">
        <v>1794</v>
      </c>
      <c r="E458" s="166" t="s">
        <v>128</v>
      </c>
      <c r="F458" s="166" t="s">
        <v>128</v>
      </c>
      <c r="G458" s="167" t="s">
        <v>1839</v>
      </c>
    </row>
    <row r="459" spans="2:7" x14ac:dyDescent="0.25">
      <c r="B459" s="141" t="s">
        <v>1690</v>
      </c>
      <c r="C459" s="137" t="s">
        <v>1892</v>
      </c>
      <c r="D459" s="166" t="s">
        <v>1794</v>
      </c>
      <c r="E459" s="166" t="s">
        <v>128</v>
      </c>
      <c r="F459" s="166" t="s">
        <v>128</v>
      </c>
      <c r="G459" s="167" t="s">
        <v>1840</v>
      </c>
    </row>
    <row r="460" spans="2:7" x14ac:dyDescent="0.25">
      <c r="B460" s="141" t="s">
        <v>1690</v>
      </c>
      <c r="C460" s="137" t="s">
        <v>1893</v>
      </c>
      <c r="D460" s="166" t="s">
        <v>1794</v>
      </c>
      <c r="E460" s="166" t="s">
        <v>128</v>
      </c>
      <c r="F460" s="166" t="s">
        <v>128</v>
      </c>
      <c r="G460" s="167" t="s">
        <v>1841</v>
      </c>
    </row>
    <row r="461" spans="2:7" x14ac:dyDescent="0.25">
      <c r="B461" s="141" t="s">
        <v>1690</v>
      </c>
      <c r="C461" s="137" t="s">
        <v>1894</v>
      </c>
      <c r="D461" s="166" t="s">
        <v>1794</v>
      </c>
      <c r="E461" s="166" t="s">
        <v>128</v>
      </c>
      <c r="F461" s="166" t="s">
        <v>128</v>
      </c>
      <c r="G461" s="167" t="s">
        <v>1843</v>
      </c>
    </row>
    <row r="462" spans="2:7" x14ac:dyDescent="0.25">
      <c r="B462" s="141" t="s">
        <v>1690</v>
      </c>
      <c r="C462" s="137" t="s">
        <v>1895</v>
      </c>
      <c r="D462" s="166" t="s">
        <v>1794</v>
      </c>
      <c r="E462" s="166" t="s">
        <v>128</v>
      </c>
      <c r="F462" s="166" t="s">
        <v>128</v>
      </c>
      <c r="G462" s="167" t="s">
        <v>1845</v>
      </c>
    </row>
    <row r="463" spans="2:7" x14ac:dyDescent="0.25">
      <c r="B463" s="141" t="s">
        <v>1690</v>
      </c>
      <c r="C463" s="137" t="s">
        <v>1896</v>
      </c>
      <c r="D463" s="166" t="s">
        <v>1794</v>
      </c>
      <c r="E463" s="166" t="s">
        <v>128</v>
      </c>
      <c r="F463" s="166" t="s">
        <v>128</v>
      </c>
      <c r="G463" s="167" t="s">
        <v>1851</v>
      </c>
    </row>
    <row r="464" spans="2:7" x14ac:dyDescent="0.25">
      <c r="B464" s="141" t="s">
        <v>1690</v>
      </c>
      <c r="C464" s="137" t="s">
        <v>1897</v>
      </c>
      <c r="D464" s="166" t="s">
        <v>1794</v>
      </c>
      <c r="E464" s="166" t="s">
        <v>128</v>
      </c>
      <c r="F464" s="166" t="s">
        <v>128</v>
      </c>
      <c r="G464" s="167" t="s">
        <v>1899</v>
      </c>
    </row>
    <row r="465" spans="2:7" x14ac:dyDescent="0.25">
      <c r="B465" s="141" t="s">
        <v>1690</v>
      </c>
      <c r="C465" s="137" t="s">
        <v>1898</v>
      </c>
      <c r="D465" s="166" t="s">
        <v>1794</v>
      </c>
      <c r="E465" s="166" t="s">
        <v>128</v>
      </c>
      <c r="F465" s="166" t="s">
        <v>128</v>
      </c>
      <c r="G465" s="167" t="s">
        <v>1853</v>
      </c>
    </row>
    <row r="466" spans="2:7" x14ac:dyDescent="0.25">
      <c r="B466" s="141" t="s">
        <v>1690</v>
      </c>
      <c r="C466" s="137" t="s">
        <v>1900</v>
      </c>
      <c r="D466" s="166" t="s">
        <v>1794</v>
      </c>
      <c r="E466" s="166" t="s">
        <v>128</v>
      </c>
      <c r="F466" s="166" t="s">
        <v>128</v>
      </c>
      <c r="G466" s="167" t="s">
        <v>1854</v>
      </c>
    </row>
    <row r="467" spans="2:7" x14ac:dyDescent="0.25">
      <c r="B467" s="141" t="s">
        <v>1690</v>
      </c>
      <c r="C467" s="137" t="s">
        <v>1901</v>
      </c>
      <c r="D467" s="166" t="s">
        <v>1794</v>
      </c>
      <c r="E467" s="166" t="s">
        <v>128</v>
      </c>
      <c r="F467" s="166" t="s">
        <v>128</v>
      </c>
      <c r="G467" s="167" t="s">
        <v>1855</v>
      </c>
    </row>
    <row r="468" spans="2:7" x14ac:dyDescent="0.25">
      <c r="B468" s="141" t="s">
        <v>1690</v>
      </c>
      <c r="C468" s="137" t="s">
        <v>1902</v>
      </c>
      <c r="D468" s="166" t="s">
        <v>1794</v>
      </c>
      <c r="E468" s="166" t="s">
        <v>128</v>
      </c>
      <c r="F468" s="166" t="s">
        <v>128</v>
      </c>
      <c r="G468" s="167" t="s">
        <v>1858</v>
      </c>
    </row>
    <row r="469" spans="2:7" x14ac:dyDescent="0.25">
      <c r="B469" s="141" t="s">
        <v>1690</v>
      </c>
      <c r="C469" s="137" t="s">
        <v>1903</v>
      </c>
      <c r="D469" s="166" t="s">
        <v>1794</v>
      </c>
      <c r="E469" s="166" t="s">
        <v>128</v>
      </c>
      <c r="F469" s="166" t="s">
        <v>128</v>
      </c>
      <c r="G469" s="167" t="s">
        <v>1859</v>
      </c>
    </row>
    <row r="470" spans="2:7" x14ac:dyDescent="0.25">
      <c r="B470" s="141" t="s">
        <v>1690</v>
      </c>
      <c r="C470" s="137" t="s">
        <v>1904</v>
      </c>
      <c r="D470" s="166" t="s">
        <v>1794</v>
      </c>
      <c r="E470" s="166" t="s">
        <v>128</v>
      </c>
      <c r="F470" s="166" t="s">
        <v>128</v>
      </c>
      <c r="G470" s="167" t="s">
        <v>1862</v>
      </c>
    </row>
    <row r="471" spans="2:7" x14ac:dyDescent="0.25">
      <c r="B471" s="141" t="s">
        <v>1690</v>
      </c>
      <c r="C471" s="137" t="s">
        <v>1905</v>
      </c>
      <c r="D471" s="166" t="s">
        <v>1794</v>
      </c>
      <c r="E471" s="166" t="s">
        <v>128</v>
      </c>
      <c r="F471" s="166" t="s">
        <v>128</v>
      </c>
      <c r="G471" s="167" t="s">
        <v>1863</v>
      </c>
    </row>
    <row r="472" spans="2:7" x14ac:dyDescent="0.25">
      <c r="B472" s="143" t="s">
        <v>1690</v>
      </c>
      <c r="C472" s="168" t="s">
        <v>1906</v>
      </c>
      <c r="D472" s="169" t="s">
        <v>1794</v>
      </c>
      <c r="E472" s="169" t="s">
        <v>128</v>
      </c>
      <c r="F472" s="169" t="s">
        <v>128</v>
      </c>
      <c r="G472" s="170" t="s">
        <v>1864</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6" t="s">
        <v>1908</v>
      </c>
      <c r="E524" s="166" t="s">
        <v>128</v>
      </c>
      <c r="F524" s="166" t="s">
        <v>128</v>
      </c>
      <c r="G524" s="167"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2553</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5" t="s">
        <v>1697</v>
      </c>
      <c r="C533" s="171" t="s">
        <v>636</v>
      </c>
      <c r="D533" s="172" t="s">
        <v>1909</v>
      </c>
      <c r="E533" s="172" t="s">
        <v>128</v>
      </c>
      <c r="F533" s="172" t="s">
        <v>128</v>
      </c>
      <c r="G533" s="173" t="s">
        <v>128</v>
      </c>
    </row>
    <row r="534" spans="2:7" ht="30" x14ac:dyDescent="0.25">
      <c r="B534" s="141" t="s">
        <v>1702</v>
      </c>
      <c r="C534" s="137" t="s">
        <v>1910</v>
      </c>
      <c r="D534" s="166" t="s">
        <v>1925</v>
      </c>
      <c r="E534" s="166" t="s">
        <v>128</v>
      </c>
      <c r="F534" s="166" t="s">
        <v>128</v>
      </c>
      <c r="G534" s="167" t="s">
        <v>1914</v>
      </c>
    </row>
    <row r="535" spans="2:7" ht="30" x14ac:dyDescent="0.25">
      <c r="B535" s="141" t="s">
        <v>1702</v>
      </c>
      <c r="C535" s="137" t="s">
        <v>1911</v>
      </c>
      <c r="D535" s="166" t="s">
        <v>1926</v>
      </c>
      <c r="E535" s="166" t="s">
        <v>128</v>
      </c>
      <c r="F535" s="166" t="s">
        <v>128</v>
      </c>
      <c r="G535" s="167" t="s">
        <v>1914</v>
      </c>
    </row>
    <row r="536" spans="2:7" ht="30" x14ac:dyDescent="0.25">
      <c r="B536" s="141" t="s">
        <v>1702</v>
      </c>
      <c r="C536" s="137" t="s">
        <v>1912</v>
      </c>
      <c r="D536" s="166" t="s">
        <v>1925</v>
      </c>
      <c r="E536" s="166" t="s">
        <v>128</v>
      </c>
      <c r="F536" s="166" t="s">
        <v>128</v>
      </c>
      <c r="G536" s="167" t="s">
        <v>1914</v>
      </c>
    </row>
    <row r="537" spans="2:7" ht="30" x14ac:dyDescent="0.25">
      <c r="B537" s="141" t="s">
        <v>1702</v>
      </c>
      <c r="C537" s="137" t="s">
        <v>1913</v>
      </c>
      <c r="D537" s="166" t="s">
        <v>1925</v>
      </c>
      <c r="E537" s="166" t="s">
        <v>128</v>
      </c>
      <c r="F537" s="166" t="s">
        <v>128</v>
      </c>
      <c r="G537" s="167" t="s">
        <v>1915</v>
      </c>
    </row>
    <row r="538" spans="2:7" ht="30" x14ac:dyDescent="0.25">
      <c r="B538" s="141" t="s">
        <v>1702</v>
      </c>
      <c r="C538" s="137" t="s">
        <v>1916</v>
      </c>
      <c r="D538" s="166" t="s">
        <v>1926</v>
      </c>
      <c r="E538" s="166" t="s">
        <v>128</v>
      </c>
      <c r="F538" s="166" t="s">
        <v>128</v>
      </c>
      <c r="G538" s="167" t="s">
        <v>1915</v>
      </c>
    </row>
    <row r="539" spans="2:7" ht="30" x14ac:dyDescent="0.25">
      <c r="B539" s="141" t="s">
        <v>1702</v>
      </c>
      <c r="C539" s="137" t="s">
        <v>1917</v>
      </c>
      <c r="D539" s="166" t="s">
        <v>1925</v>
      </c>
      <c r="E539" s="166" t="s">
        <v>128</v>
      </c>
      <c r="F539" s="166" t="s">
        <v>128</v>
      </c>
      <c r="G539" s="167" t="s">
        <v>1915</v>
      </c>
    </row>
    <row r="540" spans="2:7" ht="30" x14ac:dyDescent="0.25">
      <c r="B540" s="141" t="s">
        <v>1702</v>
      </c>
      <c r="C540" s="137" t="s">
        <v>1918</v>
      </c>
      <c r="D540" s="166" t="s">
        <v>1925</v>
      </c>
      <c r="E540" s="166" t="s">
        <v>128</v>
      </c>
      <c r="F540" s="166" t="s">
        <v>128</v>
      </c>
      <c r="G540" s="167" t="s">
        <v>1919</v>
      </c>
    </row>
    <row r="541" spans="2:7" ht="30" x14ac:dyDescent="0.25">
      <c r="B541" s="141" t="s">
        <v>1702</v>
      </c>
      <c r="C541" s="137" t="s">
        <v>1920</v>
      </c>
      <c r="D541" s="166" t="s">
        <v>1926</v>
      </c>
      <c r="E541" s="166" t="s">
        <v>128</v>
      </c>
      <c r="F541" s="166" t="s">
        <v>128</v>
      </c>
      <c r="G541" s="167" t="s">
        <v>1919</v>
      </c>
    </row>
    <row r="542" spans="2:7" ht="30" x14ac:dyDescent="0.25">
      <c r="B542" s="141" t="s">
        <v>1702</v>
      </c>
      <c r="C542" s="137" t="s">
        <v>1921</v>
      </c>
      <c r="D542" s="166" t="s">
        <v>1925</v>
      </c>
      <c r="E542" s="166" t="s">
        <v>128</v>
      </c>
      <c r="F542" s="166" t="s">
        <v>128</v>
      </c>
      <c r="G542" s="167" t="s">
        <v>1919</v>
      </c>
    </row>
    <row r="543" spans="2:7" ht="30" x14ac:dyDescent="0.25">
      <c r="B543" s="141" t="s">
        <v>1702</v>
      </c>
      <c r="C543" s="137" t="s">
        <v>1922</v>
      </c>
      <c r="D543" s="166" t="s">
        <v>1925</v>
      </c>
      <c r="E543" s="166" t="s">
        <v>128</v>
      </c>
      <c r="F543" s="166" t="s">
        <v>128</v>
      </c>
      <c r="G543" s="167" t="s">
        <v>1919</v>
      </c>
    </row>
    <row r="544" spans="2:7" ht="30" x14ac:dyDescent="0.25">
      <c r="B544" s="141" t="s">
        <v>1702</v>
      </c>
      <c r="C544" s="137" t="s">
        <v>1923</v>
      </c>
      <c r="D544" s="166" t="s">
        <v>1926</v>
      </c>
      <c r="E544" s="166" t="s">
        <v>128</v>
      </c>
      <c r="F544" s="166" t="s">
        <v>128</v>
      </c>
      <c r="G544" s="167" t="s">
        <v>1919</v>
      </c>
    </row>
    <row r="545" spans="2:7" ht="30" x14ac:dyDescent="0.25">
      <c r="B545" s="143" t="s">
        <v>1702</v>
      </c>
      <c r="C545" s="137" t="s">
        <v>1924</v>
      </c>
      <c r="D545" s="166" t="s">
        <v>1925</v>
      </c>
      <c r="E545" s="166" t="s">
        <v>128</v>
      </c>
      <c r="F545" s="166" t="s">
        <v>128</v>
      </c>
      <c r="G545" s="167" t="s">
        <v>1919</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2513</v>
      </c>
      <c r="C567" s="133" t="s">
        <v>2514</v>
      </c>
      <c r="D567" s="110" t="s">
        <v>1061</v>
      </c>
      <c r="E567" s="110" t="s">
        <v>128</v>
      </c>
      <c r="F567" s="110" t="s">
        <v>128</v>
      </c>
      <c r="G567" s="111" t="s">
        <v>2515</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1929</v>
      </c>
      <c r="D733" s="137" t="s">
        <v>1927</v>
      </c>
      <c r="E733" s="166" t="s">
        <v>128</v>
      </c>
      <c r="F733" s="166" t="s">
        <v>128</v>
      </c>
      <c r="G733" s="167" t="s">
        <v>1928</v>
      </c>
    </row>
    <row r="734" spans="2:7" x14ac:dyDescent="0.25">
      <c r="B734" s="141" t="s">
        <v>1715</v>
      </c>
      <c r="C734" s="137" t="s">
        <v>1930</v>
      </c>
      <c r="D734" s="137" t="s">
        <v>1927</v>
      </c>
      <c r="E734" s="166" t="s">
        <v>128</v>
      </c>
      <c r="F734" s="166" t="s">
        <v>128</v>
      </c>
      <c r="G734" s="167" t="s">
        <v>355</v>
      </c>
    </row>
    <row r="735" spans="2:7" x14ac:dyDescent="0.25">
      <c r="B735" s="141" t="s">
        <v>1715</v>
      </c>
      <c r="C735" s="137" t="s">
        <v>1931</v>
      </c>
      <c r="D735" s="137" t="s">
        <v>1927</v>
      </c>
      <c r="E735" s="166" t="s">
        <v>128</v>
      </c>
      <c r="F735" s="166" t="s">
        <v>128</v>
      </c>
      <c r="G735" s="167" t="s">
        <v>1937</v>
      </c>
    </row>
    <row r="736" spans="2:7" x14ac:dyDescent="0.25">
      <c r="B736" s="141" t="s">
        <v>1715</v>
      </c>
      <c r="C736" s="137" t="s">
        <v>1932</v>
      </c>
      <c r="D736" s="137" t="s">
        <v>1927</v>
      </c>
      <c r="E736" s="166" t="s">
        <v>128</v>
      </c>
      <c r="F736" s="166" t="s">
        <v>128</v>
      </c>
      <c r="G736" s="167" t="s">
        <v>357</v>
      </c>
    </row>
    <row r="737" spans="2:7" x14ac:dyDescent="0.25">
      <c r="B737" s="141" t="s">
        <v>1715</v>
      </c>
      <c r="C737" s="137" t="s">
        <v>1933</v>
      </c>
      <c r="D737" s="137" t="s">
        <v>1927</v>
      </c>
      <c r="E737" s="166" t="s">
        <v>128</v>
      </c>
      <c r="F737" s="166" t="s">
        <v>128</v>
      </c>
      <c r="G737" s="167" t="s">
        <v>361</v>
      </c>
    </row>
    <row r="738" spans="2:7" x14ac:dyDescent="0.25">
      <c r="B738" s="141" t="s">
        <v>1715</v>
      </c>
      <c r="C738" s="137" t="s">
        <v>1934</v>
      </c>
      <c r="D738" s="137" t="s">
        <v>1927</v>
      </c>
      <c r="E738" s="166" t="s">
        <v>128</v>
      </c>
      <c r="F738" s="166" t="s">
        <v>128</v>
      </c>
      <c r="G738" s="167" t="s">
        <v>365</v>
      </c>
    </row>
    <row r="739" spans="2:7" x14ac:dyDescent="0.25">
      <c r="B739" s="141" t="s">
        <v>1715</v>
      </c>
      <c r="C739" s="137" t="s">
        <v>1935</v>
      </c>
      <c r="D739" s="137" t="s">
        <v>1927</v>
      </c>
      <c r="E739" s="166" t="s">
        <v>128</v>
      </c>
      <c r="F739" s="166" t="s">
        <v>128</v>
      </c>
      <c r="G739" s="167" t="s">
        <v>1938</v>
      </c>
    </row>
    <row r="740" spans="2:7" x14ac:dyDescent="0.25">
      <c r="B740" s="141" t="s">
        <v>1715</v>
      </c>
      <c r="C740" s="137" t="s">
        <v>1936</v>
      </c>
      <c r="D740" s="137" t="s">
        <v>1927</v>
      </c>
      <c r="E740" s="166" t="s">
        <v>128</v>
      </c>
      <c r="F740" s="166" t="s">
        <v>128</v>
      </c>
      <c r="G740" s="167" t="s">
        <v>371</v>
      </c>
    </row>
    <row r="741" spans="2:7" x14ac:dyDescent="0.25">
      <c r="B741" s="141" t="s">
        <v>1715</v>
      </c>
      <c r="C741" s="137" t="s">
        <v>1939</v>
      </c>
      <c r="D741" s="137" t="s">
        <v>1927</v>
      </c>
      <c r="E741" s="166" t="s">
        <v>128</v>
      </c>
      <c r="F741" s="166" t="s">
        <v>128</v>
      </c>
      <c r="G741" s="167" t="s">
        <v>375</v>
      </c>
    </row>
    <row r="742" spans="2:7" x14ac:dyDescent="0.25">
      <c r="B742" s="141" t="s">
        <v>1715</v>
      </c>
      <c r="C742" s="137" t="s">
        <v>1940</v>
      </c>
      <c r="D742" s="137" t="s">
        <v>1927</v>
      </c>
      <c r="E742" s="166" t="s">
        <v>128</v>
      </c>
      <c r="F742" s="166" t="s">
        <v>128</v>
      </c>
      <c r="G742" s="167" t="s">
        <v>379</v>
      </c>
    </row>
    <row r="743" spans="2:7" x14ac:dyDescent="0.25">
      <c r="B743" s="141" t="s">
        <v>1715</v>
      </c>
      <c r="C743" s="137" t="s">
        <v>1941</v>
      </c>
      <c r="D743" s="137" t="s">
        <v>1927</v>
      </c>
      <c r="E743" s="166" t="s">
        <v>128</v>
      </c>
      <c r="F743" s="166" t="s">
        <v>128</v>
      </c>
      <c r="G743" s="167" t="s">
        <v>1942</v>
      </c>
    </row>
    <row r="744" spans="2:7" x14ac:dyDescent="0.25">
      <c r="B744" s="141" t="s">
        <v>1715</v>
      </c>
      <c r="C744" s="137" t="s">
        <v>1943</v>
      </c>
      <c r="D744" s="137" t="s">
        <v>1927</v>
      </c>
      <c r="E744" s="166" t="s">
        <v>128</v>
      </c>
      <c r="F744" s="166" t="s">
        <v>128</v>
      </c>
      <c r="G744" s="167" t="s">
        <v>1949</v>
      </c>
    </row>
    <row r="745" spans="2:7" x14ac:dyDescent="0.25">
      <c r="B745" s="141" t="s">
        <v>1715</v>
      </c>
      <c r="C745" s="137" t="s">
        <v>1944</v>
      </c>
      <c r="D745" s="137" t="s">
        <v>1927</v>
      </c>
      <c r="E745" s="166" t="s">
        <v>128</v>
      </c>
      <c r="F745" s="166" t="s">
        <v>128</v>
      </c>
      <c r="G745" s="167" t="s">
        <v>1950</v>
      </c>
    </row>
    <row r="746" spans="2:7" x14ac:dyDescent="0.25">
      <c r="B746" s="141" t="s">
        <v>1715</v>
      </c>
      <c r="C746" s="137" t="s">
        <v>1945</v>
      </c>
      <c r="D746" s="137" t="s">
        <v>1927</v>
      </c>
      <c r="E746" s="166" t="s">
        <v>128</v>
      </c>
      <c r="F746" s="166" t="s">
        <v>128</v>
      </c>
      <c r="G746" s="167" t="s">
        <v>1951</v>
      </c>
    </row>
    <row r="747" spans="2:7" x14ac:dyDescent="0.25">
      <c r="B747" s="141" t="s">
        <v>1715</v>
      </c>
      <c r="C747" s="137" t="s">
        <v>1946</v>
      </c>
      <c r="D747" s="137" t="s">
        <v>1927</v>
      </c>
      <c r="E747" s="166" t="s">
        <v>128</v>
      </c>
      <c r="F747" s="166" t="s">
        <v>128</v>
      </c>
      <c r="G747" s="167" t="s">
        <v>1952</v>
      </c>
    </row>
    <row r="748" spans="2:7" x14ac:dyDescent="0.25">
      <c r="B748" s="141" t="s">
        <v>1715</v>
      </c>
      <c r="C748" s="137" t="s">
        <v>1947</v>
      </c>
      <c r="D748" s="137" t="s">
        <v>1927</v>
      </c>
      <c r="E748" s="166" t="s">
        <v>128</v>
      </c>
      <c r="F748" s="166" t="s">
        <v>128</v>
      </c>
      <c r="G748" s="167" t="s">
        <v>1953</v>
      </c>
    </row>
    <row r="749" spans="2:7" x14ac:dyDescent="0.25">
      <c r="B749" s="141" t="s">
        <v>1715</v>
      </c>
      <c r="C749" s="137" t="s">
        <v>1948</v>
      </c>
      <c r="D749" s="137" t="s">
        <v>1927</v>
      </c>
      <c r="E749" s="166" t="s">
        <v>128</v>
      </c>
      <c r="F749" s="166" t="s">
        <v>128</v>
      </c>
      <c r="G749" s="167" t="s">
        <v>1954</v>
      </c>
    </row>
    <row r="750" spans="2:7" x14ac:dyDescent="0.25">
      <c r="B750" s="141" t="s">
        <v>1715</v>
      </c>
      <c r="C750" s="137" t="s">
        <v>1955</v>
      </c>
      <c r="D750" s="137" t="s">
        <v>1927</v>
      </c>
      <c r="E750" s="166" t="s">
        <v>128</v>
      </c>
      <c r="F750" s="166" t="s">
        <v>128</v>
      </c>
      <c r="G750" s="167" t="s">
        <v>1960</v>
      </c>
    </row>
    <row r="751" spans="2:7" x14ac:dyDescent="0.25">
      <c r="B751" s="141" t="s">
        <v>1715</v>
      </c>
      <c r="C751" s="137" t="s">
        <v>1956</v>
      </c>
      <c r="D751" s="137" t="s">
        <v>1927</v>
      </c>
      <c r="E751" s="166" t="s">
        <v>128</v>
      </c>
      <c r="F751" s="166" t="s">
        <v>128</v>
      </c>
      <c r="G751" s="167" t="s">
        <v>1961</v>
      </c>
    </row>
    <row r="752" spans="2:7" x14ac:dyDescent="0.25">
      <c r="B752" s="141" t="s">
        <v>1715</v>
      </c>
      <c r="C752" s="137" t="s">
        <v>1957</v>
      </c>
      <c r="D752" s="137" t="s">
        <v>1927</v>
      </c>
      <c r="E752" s="166" t="s">
        <v>128</v>
      </c>
      <c r="F752" s="166" t="s">
        <v>128</v>
      </c>
      <c r="G752" s="167" t="s">
        <v>1962</v>
      </c>
    </row>
    <row r="753" spans="2:7" x14ac:dyDescent="0.25">
      <c r="B753" s="141" t="s">
        <v>1715</v>
      </c>
      <c r="C753" s="137" t="s">
        <v>1958</v>
      </c>
      <c r="D753" s="137" t="s">
        <v>1927</v>
      </c>
      <c r="E753" s="166" t="s">
        <v>128</v>
      </c>
      <c r="F753" s="166" t="s">
        <v>128</v>
      </c>
      <c r="G753" s="167" t="s">
        <v>1963</v>
      </c>
    </row>
    <row r="754" spans="2:7" x14ac:dyDescent="0.25">
      <c r="B754" s="143" t="s">
        <v>1715</v>
      </c>
      <c r="C754" s="168" t="s">
        <v>1959</v>
      </c>
      <c r="D754" s="168" t="s">
        <v>1927</v>
      </c>
      <c r="E754" s="169" t="s">
        <v>128</v>
      </c>
      <c r="F754" s="169" t="s">
        <v>128</v>
      </c>
      <c r="G754" s="170" t="s">
        <v>1964</v>
      </c>
    </row>
    <row r="755" spans="2:7" x14ac:dyDescent="0.25">
      <c r="B755" s="141" t="s">
        <v>1716</v>
      </c>
      <c r="C755" s="137" t="s">
        <v>1966</v>
      </c>
      <c r="D755" s="166" t="s">
        <v>1965</v>
      </c>
      <c r="E755" s="166" t="s">
        <v>128</v>
      </c>
      <c r="F755" s="166" t="s">
        <v>128</v>
      </c>
      <c r="G755" s="167" t="s">
        <v>1967</v>
      </c>
    </row>
    <row r="756" spans="2:7" x14ac:dyDescent="0.25">
      <c r="B756" s="141" t="s">
        <v>1716</v>
      </c>
      <c r="C756" s="137" t="s">
        <v>1968</v>
      </c>
      <c r="D756" s="166" t="s">
        <v>1965</v>
      </c>
      <c r="E756" s="166" t="s">
        <v>128</v>
      </c>
      <c r="F756" s="166" t="s">
        <v>128</v>
      </c>
      <c r="G756" s="167" t="s">
        <v>1969</v>
      </c>
    </row>
    <row r="757" spans="2:7" x14ac:dyDescent="0.25">
      <c r="B757" s="141" t="s">
        <v>1716</v>
      </c>
      <c r="C757" s="137" t="s">
        <v>1970</v>
      </c>
      <c r="D757" s="166" t="s">
        <v>1965</v>
      </c>
      <c r="E757" s="166" t="s">
        <v>128</v>
      </c>
      <c r="F757" s="166" t="s">
        <v>128</v>
      </c>
      <c r="G757" s="167" t="s">
        <v>1971</v>
      </c>
    </row>
    <row r="758" spans="2:7" x14ac:dyDescent="0.25">
      <c r="B758" s="141" t="s">
        <v>1716</v>
      </c>
      <c r="C758" s="137" t="s">
        <v>1972</v>
      </c>
      <c r="D758" s="166" t="s">
        <v>1965</v>
      </c>
      <c r="E758" s="166" t="s">
        <v>128</v>
      </c>
      <c r="F758" s="166" t="s">
        <v>128</v>
      </c>
      <c r="G758" s="167" t="s">
        <v>1973</v>
      </c>
    </row>
    <row r="759" spans="2:7" x14ac:dyDescent="0.25">
      <c r="B759" s="141" t="s">
        <v>1716</v>
      </c>
      <c r="C759" s="137" t="s">
        <v>1974</v>
      </c>
      <c r="D759" s="166" t="s">
        <v>1965</v>
      </c>
      <c r="E759" s="166" t="s">
        <v>128</v>
      </c>
      <c r="F759" s="166" t="s">
        <v>128</v>
      </c>
      <c r="G759" s="167" t="s">
        <v>1975</v>
      </c>
    </row>
    <row r="760" spans="2:7" x14ac:dyDescent="0.25">
      <c r="B760" s="141" t="s">
        <v>1716</v>
      </c>
      <c r="C760" s="137" t="s">
        <v>1976</v>
      </c>
      <c r="D760" s="166" t="s">
        <v>1965</v>
      </c>
      <c r="E760" s="166" t="s">
        <v>128</v>
      </c>
      <c r="F760" s="166" t="s">
        <v>128</v>
      </c>
      <c r="G760" s="167" t="s">
        <v>1977</v>
      </c>
    </row>
    <row r="761" spans="2:7" x14ac:dyDescent="0.25">
      <c r="B761" s="141" t="s">
        <v>1716</v>
      </c>
      <c r="C761" s="137" t="s">
        <v>1978</v>
      </c>
      <c r="D761" s="166" t="s">
        <v>1965</v>
      </c>
      <c r="E761" s="166" t="s">
        <v>128</v>
      </c>
      <c r="F761" s="166" t="s">
        <v>128</v>
      </c>
      <c r="G761" s="167" t="s">
        <v>1979</v>
      </c>
    </row>
    <row r="762" spans="2:7" x14ac:dyDescent="0.25">
      <c r="B762" s="141" t="s">
        <v>1716</v>
      </c>
      <c r="C762" s="137" t="s">
        <v>1980</v>
      </c>
      <c r="D762" s="166" t="s">
        <v>1965</v>
      </c>
      <c r="E762" s="166" t="s">
        <v>128</v>
      </c>
      <c r="F762" s="166" t="s">
        <v>128</v>
      </c>
      <c r="G762" s="167" t="s">
        <v>1981</v>
      </c>
    </row>
    <row r="763" spans="2:7" x14ac:dyDescent="0.25">
      <c r="B763" s="141" t="s">
        <v>1716</v>
      </c>
      <c r="C763" s="137" t="s">
        <v>1982</v>
      </c>
      <c r="D763" s="166" t="s">
        <v>1965</v>
      </c>
      <c r="E763" s="166" t="s">
        <v>128</v>
      </c>
      <c r="F763" s="166" t="s">
        <v>128</v>
      </c>
      <c r="G763" s="167" t="s">
        <v>1983</v>
      </c>
    </row>
    <row r="764" spans="2:7" x14ac:dyDescent="0.25">
      <c r="B764" s="141" t="s">
        <v>1716</v>
      </c>
      <c r="C764" s="137" t="s">
        <v>1984</v>
      </c>
      <c r="D764" s="166" t="s">
        <v>1965</v>
      </c>
      <c r="E764" s="166" t="s">
        <v>128</v>
      </c>
      <c r="F764" s="166" t="s">
        <v>128</v>
      </c>
      <c r="G764" s="167" t="s">
        <v>1985</v>
      </c>
    </row>
    <row r="765" spans="2:7" x14ac:dyDescent="0.25">
      <c r="B765" s="141" t="s">
        <v>1716</v>
      </c>
      <c r="C765" s="137" t="s">
        <v>1986</v>
      </c>
      <c r="D765" s="166" t="s">
        <v>1965</v>
      </c>
      <c r="E765" s="166" t="s">
        <v>128</v>
      </c>
      <c r="F765" s="166" t="s">
        <v>128</v>
      </c>
      <c r="G765" s="167" t="s">
        <v>1987</v>
      </c>
    </row>
    <row r="766" spans="2:7" x14ac:dyDescent="0.25">
      <c r="B766" s="141" t="s">
        <v>1716</v>
      </c>
      <c r="C766" s="137" t="s">
        <v>1988</v>
      </c>
      <c r="D766" s="166" t="s">
        <v>1965</v>
      </c>
      <c r="E766" s="166" t="s">
        <v>128</v>
      </c>
      <c r="F766" s="166" t="s">
        <v>128</v>
      </c>
      <c r="G766" s="167" t="s">
        <v>1989</v>
      </c>
    </row>
    <row r="767" spans="2:7" x14ac:dyDescent="0.25">
      <c r="B767" s="141" t="s">
        <v>1716</v>
      </c>
      <c r="C767" s="137" t="s">
        <v>1990</v>
      </c>
      <c r="D767" s="166" t="s">
        <v>1965</v>
      </c>
      <c r="E767" s="166" t="s">
        <v>128</v>
      </c>
      <c r="F767" s="166" t="s">
        <v>128</v>
      </c>
      <c r="G767" s="167" t="s">
        <v>1991</v>
      </c>
    </row>
    <row r="768" spans="2:7" x14ac:dyDescent="0.25">
      <c r="B768" s="141" t="s">
        <v>1716</v>
      </c>
      <c r="C768" s="137" t="s">
        <v>1992</v>
      </c>
      <c r="D768" s="166" t="s">
        <v>1965</v>
      </c>
      <c r="E768" s="166" t="s">
        <v>128</v>
      </c>
      <c r="F768" s="166" t="s">
        <v>128</v>
      </c>
      <c r="G768" s="167" t="s">
        <v>1993</v>
      </c>
    </row>
    <row r="769" spans="2:7" x14ac:dyDescent="0.25">
      <c r="B769" s="141" t="s">
        <v>1716</v>
      </c>
      <c r="C769" s="137" t="s">
        <v>1994</v>
      </c>
      <c r="D769" s="166" t="s">
        <v>1965</v>
      </c>
      <c r="E769" s="166" t="s">
        <v>128</v>
      </c>
      <c r="F769" s="166" t="s">
        <v>128</v>
      </c>
      <c r="G769" s="167" t="s">
        <v>1995</v>
      </c>
    </row>
    <row r="770" spans="2:7" x14ac:dyDescent="0.25">
      <c r="B770" s="141" t="s">
        <v>1716</v>
      </c>
      <c r="C770" s="137" t="s">
        <v>1996</v>
      </c>
      <c r="D770" s="166" t="s">
        <v>1965</v>
      </c>
      <c r="E770" s="166" t="s">
        <v>128</v>
      </c>
      <c r="F770" s="166" t="s">
        <v>128</v>
      </c>
      <c r="G770" s="167" t="s">
        <v>1997</v>
      </c>
    </row>
    <row r="771" spans="2:7" x14ac:dyDescent="0.25">
      <c r="B771" s="141" t="s">
        <v>1716</v>
      </c>
      <c r="C771" s="137" t="s">
        <v>1998</v>
      </c>
      <c r="D771" s="166" t="s">
        <v>1965</v>
      </c>
      <c r="E771" s="166" t="s">
        <v>128</v>
      </c>
      <c r="F771" s="166" t="s">
        <v>128</v>
      </c>
      <c r="G771" s="167" t="s">
        <v>1999</v>
      </c>
    </row>
    <row r="772" spans="2:7" x14ac:dyDescent="0.25">
      <c r="B772" s="141" t="s">
        <v>1716</v>
      </c>
      <c r="C772" s="137" t="s">
        <v>2000</v>
      </c>
      <c r="D772" s="166" t="s">
        <v>1965</v>
      </c>
      <c r="E772" s="166" t="s">
        <v>128</v>
      </c>
      <c r="F772" s="166" t="s">
        <v>128</v>
      </c>
      <c r="G772" s="167" t="s">
        <v>2001</v>
      </c>
    </row>
    <row r="773" spans="2:7" x14ac:dyDescent="0.25">
      <c r="B773" s="141" t="s">
        <v>1716</v>
      </c>
      <c r="C773" s="137" t="s">
        <v>2002</v>
      </c>
      <c r="D773" s="166" t="s">
        <v>1965</v>
      </c>
      <c r="E773" s="166" t="s">
        <v>128</v>
      </c>
      <c r="F773" s="166" t="s">
        <v>128</v>
      </c>
      <c r="G773" s="167" t="s">
        <v>1967</v>
      </c>
    </row>
    <row r="774" spans="2:7" x14ac:dyDescent="0.25">
      <c r="B774" s="141" t="s">
        <v>1716</v>
      </c>
      <c r="C774" s="137" t="s">
        <v>2003</v>
      </c>
      <c r="D774" s="166" t="s">
        <v>1965</v>
      </c>
      <c r="E774" s="166" t="s">
        <v>128</v>
      </c>
      <c r="F774" s="166" t="s">
        <v>128</v>
      </c>
      <c r="G774" s="167" t="s">
        <v>1969</v>
      </c>
    </row>
    <row r="775" spans="2:7" x14ac:dyDescent="0.25">
      <c r="B775" s="141" t="s">
        <v>1716</v>
      </c>
      <c r="C775" s="137" t="s">
        <v>2004</v>
      </c>
      <c r="D775" s="166" t="s">
        <v>1965</v>
      </c>
      <c r="E775" s="166" t="s">
        <v>128</v>
      </c>
      <c r="F775" s="166" t="s">
        <v>128</v>
      </c>
      <c r="G775" s="167" t="s">
        <v>1971</v>
      </c>
    </row>
    <row r="776" spans="2:7" x14ac:dyDescent="0.25">
      <c r="B776" s="141" t="s">
        <v>1716</v>
      </c>
      <c r="C776" s="137" t="s">
        <v>2005</v>
      </c>
      <c r="D776" s="166" t="s">
        <v>1965</v>
      </c>
      <c r="E776" s="166" t="s">
        <v>128</v>
      </c>
      <c r="F776" s="166" t="s">
        <v>128</v>
      </c>
      <c r="G776" s="167" t="s">
        <v>1973</v>
      </c>
    </row>
    <row r="777" spans="2:7" x14ac:dyDescent="0.25">
      <c r="B777" s="141" t="s">
        <v>1716</v>
      </c>
      <c r="C777" s="137" t="s">
        <v>2006</v>
      </c>
      <c r="D777" s="166" t="s">
        <v>1965</v>
      </c>
      <c r="E777" s="166" t="s">
        <v>128</v>
      </c>
      <c r="F777" s="166" t="s">
        <v>128</v>
      </c>
      <c r="G777" s="167" t="s">
        <v>1975</v>
      </c>
    </row>
    <row r="778" spans="2:7" x14ac:dyDescent="0.25">
      <c r="B778" s="141" t="s">
        <v>1716</v>
      </c>
      <c r="C778" s="137" t="s">
        <v>2007</v>
      </c>
      <c r="D778" s="166" t="s">
        <v>1965</v>
      </c>
      <c r="E778" s="166" t="s">
        <v>128</v>
      </c>
      <c r="F778" s="166" t="s">
        <v>128</v>
      </c>
      <c r="G778" s="167" t="s">
        <v>1977</v>
      </c>
    </row>
    <row r="779" spans="2:7" x14ac:dyDescent="0.25">
      <c r="B779" s="141" t="s">
        <v>1716</v>
      </c>
      <c r="C779" s="137" t="s">
        <v>2008</v>
      </c>
      <c r="D779" s="166" t="s">
        <v>1965</v>
      </c>
      <c r="E779" s="166" t="s">
        <v>128</v>
      </c>
      <c r="F779" s="166" t="s">
        <v>128</v>
      </c>
      <c r="G779" s="167" t="s">
        <v>1979</v>
      </c>
    </row>
    <row r="780" spans="2:7" x14ac:dyDescent="0.25">
      <c r="B780" s="141" t="s">
        <v>1716</v>
      </c>
      <c r="C780" s="137" t="s">
        <v>2009</v>
      </c>
      <c r="D780" s="166" t="s">
        <v>1965</v>
      </c>
      <c r="E780" s="166" t="s">
        <v>128</v>
      </c>
      <c r="F780" s="166" t="s">
        <v>128</v>
      </c>
      <c r="G780" s="167" t="s">
        <v>1981</v>
      </c>
    </row>
    <row r="781" spans="2:7" x14ac:dyDescent="0.25">
      <c r="B781" s="141" t="s">
        <v>1716</v>
      </c>
      <c r="C781" s="137" t="s">
        <v>2010</v>
      </c>
      <c r="D781" s="166" t="s">
        <v>1965</v>
      </c>
      <c r="E781" s="166" t="s">
        <v>128</v>
      </c>
      <c r="F781" s="166" t="s">
        <v>128</v>
      </c>
      <c r="G781" s="167" t="s">
        <v>1983</v>
      </c>
    </row>
    <row r="782" spans="2:7" x14ac:dyDescent="0.25">
      <c r="B782" s="141" t="s">
        <v>1716</v>
      </c>
      <c r="C782" s="137" t="s">
        <v>2011</v>
      </c>
      <c r="D782" s="166" t="s">
        <v>1965</v>
      </c>
      <c r="E782" s="166" t="s">
        <v>128</v>
      </c>
      <c r="F782" s="166" t="s">
        <v>128</v>
      </c>
      <c r="G782" s="167" t="s">
        <v>1985</v>
      </c>
    </row>
    <row r="783" spans="2:7" x14ac:dyDescent="0.25">
      <c r="B783" s="141" t="s">
        <v>1716</v>
      </c>
      <c r="C783" s="137" t="s">
        <v>2012</v>
      </c>
      <c r="D783" s="166" t="s">
        <v>1965</v>
      </c>
      <c r="E783" s="166" t="s">
        <v>128</v>
      </c>
      <c r="F783" s="166" t="s">
        <v>128</v>
      </c>
      <c r="G783" s="167" t="s">
        <v>1987</v>
      </c>
    </row>
    <row r="784" spans="2:7" x14ac:dyDescent="0.25">
      <c r="B784" s="141" t="s">
        <v>1716</v>
      </c>
      <c r="C784" s="137" t="s">
        <v>2013</v>
      </c>
      <c r="D784" s="166" t="s">
        <v>1965</v>
      </c>
      <c r="E784" s="166" t="s">
        <v>128</v>
      </c>
      <c r="F784" s="166" t="s">
        <v>128</v>
      </c>
      <c r="G784" s="167" t="s">
        <v>1989</v>
      </c>
    </row>
    <row r="785" spans="2:7" x14ac:dyDescent="0.25">
      <c r="B785" s="141" t="s">
        <v>1716</v>
      </c>
      <c r="C785" s="137" t="s">
        <v>2014</v>
      </c>
      <c r="D785" s="166" t="s">
        <v>1965</v>
      </c>
      <c r="E785" s="166" t="s">
        <v>128</v>
      </c>
      <c r="F785" s="166" t="s">
        <v>128</v>
      </c>
      <c r="G785" s="167" t="s">
        <v>1991</v>
      </c>
    </row>
    <row r="786" spans="2:7" x14ac:dyDescent="0.25">
      <c r="B786" s="141" t="s">
        <v>1716</v>
      </c>
      <c r="C786" s="137" t="s">
        <v>2015</v>
      </c>
      <c r="D786" s="166" t="s">
        <v>1965</v>
      </c>
      <c r="E786" s="166" t="s">
        <v>128</v>
      </c>
      <c r="F786" s="166" t="s">
        <v>128</v>
      </c>
      <c r="G786" s="167" t="s">
        <v>1993</v>
      </c>
    </row>
    <row r="787" spans="2:7" x14ac:dyDescent="0.25">
      <c r="B787" s="141" t="s">
        <v>1716</v>
      </c>
      <c r="C787" s="137" t="s">
        <v>2016</v>
      </c>
      <c r="D787" s="166" t="s">
        <v>1965</v>
      </c>
      <c r="E787" s="166" t="s">
        <v>128</v>
      </c>
      <c r="F787" s="166" t="s">
        <v>128</v>
      </c>
      <c r="G787" s="167" t="s">
        <v>1995</v>
      </c>
    </row>
    <row r="788" spans="2:7" x14ac:dyDescent="0.25">
      <c r="B788" s="141" t="s">
        <v>1716</v>
      </c>
      <c r="C788" s="137" t="s">
        <v>2017</v>
      </c>
      <c r="D788" s="166" t="s">
        <v>1965</v>
      </c>
      <c r="E788" s="166" t="s">
        <v>128</v>
      </c>
      <c r="F788" s="166" t="s">
        <v>128</v>
      </c>
      <c r="G788" s="167" t="s">
        <v>1997</v>
      </c>
    </row>
    <row r="789" spans="2:7" x14ac:dyDescent="0.25">
      <c r="B789" s="141" t="s">
        <v>1716</v>
      </c>
      <c r="C789" s="137" t="s">
        <v>2018</v>
      </c>
      <c r="D789" s="166" t="s">
        <v>1965</v>
      </c>
      <c r="E789" s="166" t="s">
        <v>128</v>
      </c>
      <c r="F789" s="166" t="s">
        <v>128</v>
      </c>
      <c r="G789" s="167" t="s">
        <v>1999</v>
      </c>
    </row>
    <row r="790" spans="2:7" x14ac:dyDescent="0.25">
      <c r="B790" s="141" t="s">
        <v>1716</v>
      </c>
      <c r="C790" s="137" t="s">
        <v>2019</v>
      </c>
      <c r="D790" s="166" t="s">
        <v>1965</v>
      </c>
      <c r="E790" s="166" t="s">
        <v>128</v>
      </c>
      <c r="F790" s="166" t="s">
        <v>128</v>
      </c>
      <c r="G790" s="167" t="s">
        <v>2001</v>
      </c>
    </row>
    <row r="791" spans="2:7" x14ac:dyDescent="0.25">
      <c r="B791" s="141" t="s">
        <v>1716</v>
      </c>
      <c r="C791" s="137" t="s">
        <v>2020</v>
      </c>
      <c r="D791" s="166" t="s">
        <v>1965</v>
      </c>
      <c r="E791" s="166" t="s">
        <v>128</v>
      </c>
      <c r="F791" s="166" t="s">
        <v>128</v>
      </c>
      <c r="G791" s="167" t="s">
        <v>1967</v>
      </c>
    </row>
    <row r="792" spans="2:7" x14ac:dyDescent="0.25">
      <c r="B792" s="141" t="s">
        <v>1716</v>
      </c>
      <c r="C792" s="137" t="s">
        <v>2021</v>
      </c>
      <c r="D792" s="166" t="s">
        <v>1965</v>
      </c>
      <c r="E792" s="166" t="s">
        <v>128</v>
      </c>
      <c r="F792" s="166" t="s">
        <v>128</v>
      </c>
      <c r="G792" s="167" t="s">
        <v>1969</v>
      </c>
    </row>
    <row r="793" spans="2:7" x14ac:dyDescent="0.25">
      <c r="B793" s="141" t="s">
        <v>1716</v>
      </c>
      <c r="C793" s="137" t="s">
        <v>2022</v>
      </c>
      <c r="D793" s="166" t="s">
        <v>1965</v>
      </c>
      <c r="E793" s="166" t="s">
        <v>128</v>
      </c>
      <c r="F793" s="166" t="s">
        <v>128</v>
      </c>
      <c r="G793" s="167" t="s">
        <v>1971</v>
      </c>
    </row>
    <row r="794" spans="2:7" x14ac:dyDescent="0.25">
      <c r="B794" s="141" t="s">
        <v>1716</v>
      </c>
      <c r="C794" s="137" t="s">
        <v>2023</v>
      </c>
      <c r="D794" s="166" t="s">
        <v>1965</v>
      </c>
      <c r="E794" s="166" t="s">
        <v>128</v>
      </c>
      <c r="F794" s="166" t="s">
        <v>128</v>
      </c>
      <c r="G794" s="167" t="s">
        <v>1973</v>
      </c>
    </row>
    <row r="795" spans="2:7" x14ac:dyDescent="0.25">
      <c r="B795" s="141" t="s">
        <v>1716</v>
      </c>
      <c r="C795" s="137" t="s">
        <v>2024</v>
      </c>
      <c r="D795" s="166" t="s">
        <v>1965</v>
      </c>
      <c r="E795" s="166" t="s">
        <v>128</v>
      </c>
      <c r="F795" s="166" t="s">
        <v>128</v>
      </c>
      <c r="G795" s="167" t="s">
        <v>1975</v>
      </c>
    </row>
    <row r="796" spans="2:7" x14ac:dyDescent="0.25">
      <c r="B796" s="141" t="s">
        <v>1716</v>
      </c>
      <c r="C796" s="137" t="s">
        <v>2025</v>
      </c>
      <c r="D796" s="166" t="s">
        <v>1965</v>
      </c>
      <c r="E796" s="166" t="s">
        <v>128</v>
      </c>
      <c r="F796" s="166" t="s">
        <v>128</v>
      </c>
      <c r="G796" s="167" t="s">
        <v>1977</v>
      </c>
    </row>
    <row r="797" spans="2:7" x14ac:dyDescent="0.25">
      <c r="B797" s="141" t="s">
        <v>1716</v>
      </c>
      <c r="C797" s="137" t="s">
        <v>2026</v>
      </c>
      <c r="D797" s="166" t="s">
        <v>1965</v>
      </c>
      <c r="E797" s="166" t="s">
        <v>128</v>
      </c>
      <c r="F797" s="166" t="s">
        <v>128</v>
      </c>
      <c r="G797" s="167" t="s">
        <v>1979</v>
      </c>
    </row>
    <row r="798" spans="2:7" x14ac:dyDescent="0.25">
      <c r="B798" s="141" t="s">
        <v>1716</v>
      </c>
      <c r="C798" s="137" t="s">
        <v>2027</v>
      </c>
      <c r="D798" s="166" t="s">
        <v>1965</v>
      </c>
      <c r="E798" s="166" t="s">
        <v>128</v>
      </c>
      <c r="F798" s="166" t="s">
        <v>128</v>
      </c>
      <c r="G798" s="167" t="s">
        <v>1981</v>
      </c>
    </row>
    <row r="799" spans="2:7" x14ac:dyDescent="0.25">
      <c r="B799" s="141" t="s">
        <v>1716</v>
      </c>
      <c r="C799" s="137" t="s">
        <v>2028</v>
      </c>
      <c r="D799" s="166" t="s">
        <v>1965</v>
      </c>
      <c r="E799" s="166" t="s">
        <v>128</v>
      </c>
      <c r="F799" s="166" t="s">
        <v>128</v>
      </c>
      <c r="G799" s="167" t="s">
        <v>1983</v>
      </c>
    </row>
    <row r="800" spans="2:7" x14ac:dyDescent="0.25">
      <c r="B800" s="141" t="s">
        <v>1716</v>
      </c>
      <c r="C800" s="137" t="s">
        <v>2029</v>
      </c>
      <c r="D800" s="166" t="s">
        <v>1965</v>
      </c>
      <c r="E800" s="166" t="s">
        <v>128</v>
      </c>
      <c r="F800" s="166" t="s">
        <v>128</v>
      </c>
      <c r="G800" s="167" t="s">
        <v>1985</v>
      </c>
    </row>
    <row r="801" spans="2:7" x14ac:dyDescent="0.25">
      <c r="B801" s="141" t="s">
        <v>1716</v>
      </c>
      <c r="C801" s="137" t="s">
        <v>2030</v>
      </c>
      <c r="D801" s="166" t="s">
        <v>1965</v>
      </c>
      <c r="E801" s="166" t="s">
        <v>128</v>
      </c>
      <c r="F801" s="166" t="s">
        <v>128</v>
      </c>
      <c r="G801" s="167" t="s">
        <v>1987</v>
      </c>
    </row>
    <row r="802" spans="2:7" x14ac:dyDescent="0.25">
      <c r="B802" s="141" t="s">
        <v>1716</v>
      </c>
      <c r="C802" s="137" t="s">
        <v>2031</v>
      </c>
      <c r="D802" s="166" t="s">
        <v>1965</v>
      </c>
      <c r="E802" s="166" t="s">
        <v>128</v>
      </c>
      <c r="F802" s="166" t="s">
        <v>128</v>
      </c>
      <c r="G802" s="167" t="s">
        <v>1989</v>
      </c>
    </row>
    <row r="803" spans="2:7" x14ac:dyDescent="0.25">
      <c r="B803" s="141" t="s">
        <v>1716</v>
      </c>
      <c r="C803" s="137" t="s">
        <v>2032</v>
      </c>
      <c r="D803" s="166" t="s">
        <v>1965</v>
      </c>
      <c r="E803" s="166" t="s">
        <v>128</v>
      </c>
      <c r="F803" s="166" t="s">
        <v>128</v>
      </c>
      <c r="G803" s="167" t="s">
        <v>1991</v>
      </c>
    </row>
    <row r="804" spans="2:7" x14ac:dyDescent="0.25">
      <c r="B804" s="141" t="s">
        <v>1716</v>
      </c>
      <c r="C804" s="137" t="s">
        <v>2033</v>
      </c>
      <c r="D804" s="166" t="s">
        <v>1965</v>
      </c>
      <c r="E804" s="166" t="s">
        <v>128</v>
      </c>
      <c r="F804" s="166" t="s">
        <v>128</v>
      </c>
      <c r="G804" s="167" t="s">
        <v>1993</v>
      </c>
    </row>
    <row r="805" spans="2:7" x14ac:dyDescent="0.25">
      <c r="B805" s="141" t="s">
        <v>1716</v>
      </c>
      <c r="C805" s="137" t="s">
        <v>2034</v>
      </c>
      <c r="D805" s="166" t="s">
        <v>1965</v>
      </c>
      <c r="E805" s="166" t="s">
        <v>128</v>
      </c>
      <c r="F805" s="166" t="s">
        <v>128</v>
      </c>
      <c r="G805" s="167" t="s">
        <v>1995</v>
      </c>
    </row>
    <row r="806" spans="2:7" x14ac:dyDescent="0.25">
      <c r="B806" s="141" t="s">
        <v>1716</v>
      </c>
      <c r="C806" s="137" t="s">
        <v>2035</v>
      </c>
      <c r="D806" s="166" t="s">
        <v>1965</v>
      </c>
      <c r="E806" s="166" t="s">
        <v>128</v>
      </c>
      <c r="F806" s="166" t="s">
        <v>128</v>
      </c>
      <c r="G806" s="167" t="s">
        <v>1997</v>
      </c>
    </row>
    <row r="807" spans="2:7" x14ac:dyDescent="0.25">
      <c r="B807" s="141" t="s">
        <v>1716</v>
      </c>
      <c r="C807" s="137" t="s">
        <v>2036</v>
      </c>
      <c r="D807" s="166" t="s">
        <v>1965</v>
      </c>
      <c r="E807" s="166" t="s">
        <v>128</v>
      </c>
      <c r="F807" s="166" t="s">
        <v>128</v>
      </c>
      <c r="G807" s="167" t="s">
        <v>1999</v>
      </c>
    </row>
    <row r="808" spans="2:7" x14ac:dyDescent="0.25">
      <c r="B808" s="141" t="s">
        <v>1716</v>
      </c>
      <c r="C808" s="137" t="s">
        <v>2037</v>
      </c>
      <c r="D808" s="166" t="s">
        <v>1965</v>
      </c>
      <c r="E808" s="166" t="s">
        <v>128</v>
      </c>
      <c r="F808" s="166" t="s">
        <v>128</v>
      </c>
      <c r="G808" s="167" t="s">
        <v>2001</v>
      </c>
    </row>
    <row r="809" spans="2:7" x14ac:dyDescent="0.25">
      <c r="B809" s="141" t="s">
        <v>1716</v>
      </c>
      <c r="C809" s="137" t="s">
        <v>2038</v>
      </c>
      <c r="D809" s="166" t="s">
        <v>1965</v>
      </c>
      <c r="E809" s="166" t="s">
        <v>128</v>
      </c>
      <c r="F809" s="166" t="s">
        <v>128</v>
      </c>
      <c r="G809" s="167" t="s">
        <v>1967</v>
      </c>
    </row>
    <row r="810" spans="2:7" x14ac:dyDescent="0.25">
      <c r="B810" s="141" t="s">
        <v>1716</v>
      </c>
      <c r="C810" s="137" t="s">
        <v>2039</v>
      </c>
      <c r="D810" s="166" t="s">
        <v>1965</v>
      </c>
      <c r="E810" s="166" t="s">
        <v>128</v>
      </c>
      <c r="F810" s="166" t="s">
        <v>128</v>
      </c>
      <c r="G810" s="167" t="s">
        <v>1969</v>
      </c>
    </row>
    <row r="811" spans="2:7" x14ac:dyDescent="0.25">
      <c r="B811" s="141" t="s">
        <v>1716</v>
      </c>
      <c r="C811" s="137" t="s">
        <v>2040</v>
      </c>
      <c r="D811" s="166" t="s">
        <v>1965</v>
      </c>
      <c r="E811" s="166" t="s">
        <v>128</v>
      </c>
      <c r="F811" s="166" t="s">
        <v>128</v>
      </c>
      <c r="G811" s="167" t="s">
        <v>1971</v>
      </c>
    </row>
    <row r="812" spans="2:7" x14ac:dyDescent="0.25">
      <c r="B812" s="141" t="s">
        <v>1716</v>
      </c>
      <c r="C812" s="137" t="s">
        <v>2041</v>
      </c>
      <c r="D812" s="166" t="s">
        <v>1965</v>
      </c>
      <c r="E812" s="166" t="s">
        <v>128</v>
      </c>
      <c r="F812" s="166" t="s">
        <v>128</v>
      </c>
      <c r="G812" s="167" t="s">
        <v>1973</v>
      </c>
    </row>
    <row r="813" spans="2:7" x14ac:dyDescent="0.25">
      <c r="B813" s="141" t="s">
        <v>1716</v>
      </c>
      <c r="C813" s="137" t="s">
        <v>2042</v>
      </c>
      <c r="D813" s="166" t="s">
        <v>1965</v>
      </c>
      <c r="E813" s="166" t="s">
        <v>128</v>
      </c>
      <c r="F813" s="166" t="s">
        <v>128</v>
      </c>
      <c r="G813" s="167" t="s">
        <v>1977</v>
      </c>
    </row>
    <row r="814" spans="2:7" x14ac:dyDescent="0.25">
      <c r="B814" s="141" t="s">
        <v>1716</v>
      </c>
      <c r="C814" s="137" t="s">
        <v>2043</v>
      </c>
      <c r="D814" s="166" t="s">
        <v>1965</v>
      </c>
      <c r="E814" s="166" t="s">
        <v>128</v>
      </c>
      <c r="F814" s="166" t="s">
        <v>128</v>
      </c>
      <c r="G814" s="167" t="s">
        <v>1979</v>
      </c>
    </row>
    <row r="815" spans="2:7" x14ac:dyDescent="0.25">
      <c r="B815" s="141" t="s">
        <v>1716</v>
      </c>
      <c r="C815" s="137" t="s">
        <v>2044</v>
      </c>
      <c r="D815" s="166" t="s">
        <v>1965</v>
      </c>
      <c r="E815" s="166" t="s">
        <v>128</v>
      </c>
      <c r="F815" s="166" t="s">
        <v>128</v>
      </c>
      <c r="G815" s="167" t="s">
        <v>1981</v>
      </c>
    </row>
    <row r="816" spans="2:7" x14ac:dyDescent="0.25">
      <c r="B816" s="141" t="s">
        <v>1716</v>
      </c>
      <c r="C816" s="137" t="s">
        <v>2045</v>
      </c>
      <c r="D816" s="166" t="s">
        <v>1965</v>
      </c>
      <c r="E816" s="166" t="s">
        <v>128</v>
      </c>
      <c r="F816" s="166" t="s">
        <v>128</v>
      </c>
      <c r="G816" s="167" t="s">
        <v>1983</v>
      </c>
    </row>
    <row r="817" spans="2:7" x14ac:dyDescent="0.25">
      <c r="B817" s="141" t="s">
        <v>1716</v>
      </c>
      <c r="C817" s="137" t="s">
        <v>2046</v>
      </c>
      <c r="D817" s="166" t="s">
        <v>1965</v>
      </c>
      <c r="E817" s="166" t="s">
        <v>128</v>
      </c>
      <c r="F817" s="166" t="s">
        <v>128</v>
      </c>
      <c r="G817" s="167" t="s">
        <v>1985</v>
      </c>
    </row>
    <row r="818" spans="2:7" x14ac:dyDescent="0.25">
      <c r="B818" s="141" t="s">
        <v>1716</v>
      </c>
      <c r="C818" s="137" t="s">
        <v>2047</v>
      </c>
      <c r="D818" s="166" t="s">
        <v>1965</v>
      </c>
      <c r="E818" s="166" t="s">
        <v>128</v>
      </c>
      <c r="F818" s="166" t="s">
        <v>128</v>
      </c>
      <c r="G818" s="167" t="s">
        <v>1987</v>
      </c>
    </row>
    <row r="819" spans="2:7" x14ac:dyDescent="0.25">
      <c r="B819" s="141" t="s">
        <v>1716</v>
      </c>
      <c r="C819" s="137" t="s">
        <v>2048</v>
      </c>
      <c r="D819" s="166" t="s">
        <v>1965</v>
      </c>
      <c r="E819" s="166" t="s">
        <v>128</v>
      </c>
      <c r="F819" s="166" t="s">
        <v>128</v>
      </c>
      <c r="G819" s="167" t="s">
        <v>1989</v>
      </c>
    </row>
    <row r="820" spans="2:7" x14ac:dyDescent="0.25">
      <c r="B820" s="141" t="s">
        <v>1716</v>
      </c>
      <c r="C820" s="137" t="s">
        <v>2049</v>
      </c>
      <c r="D820" s="166" t="s">
        <v>1965</v>
      </c>
      <c r="E820" s="166" t="s">
        <v>128</v>
      </c>
      <c r="F820" s="166" t="s">
        <v>128</v>
      </c>
      <c r="G820" s="167" t="s">
        <v>1991</v>
      </c>
    </row>
    <row r="821" spans="2:7" x14ac:dyDescent="0.25">
      <c r="B821" s="141" t="s">
        <v>1716</v>
      </c>
      <c r="C821" s="137" t="s">
        <v>2050</v>
      </c>
      <c r="D821" s="166" t="s">
        <v>1965</v>
      </c>
      <c r="E821" s="166" t="s">
        <v>128</v>
      </c>
      <c r="F821" s="166" t="s">
        <v>128</v>
      </c>
      <c r="G821" s="167" t="s">
        <v>1993</v>
      </c>
    </row>
    <row r="822" spans="2:7" x14ac:dyDescent="0.25">
      <c r="B822" s="141" t="s">
        <v>1716</v>
      </c>
      <c r="C822" s="137" t="s">
        <v>2051</v>
      </c>
      <c r="D822" s="166" t="s">
        <v>1965</v>
      </c>
      <c r="E822" s="166" t="s">
        <v>128</v>
      </c>
      <c r="F822" s="166" t="s">
        <v>128</v>
      </c>
      <c r="G822" s="167" t="s">
        <v>1995</v>
      </c>
    </row>
    <row r="823" spans="2:7" x14ac:dyDescent="0.25">
      <c r="B823" s="141" t="s">
        <v>1716</v>
      </c>
      <c r="C823" s="137" t="s">
        <v>2052</v>
      </c>
      <c r="D823" s="166" t="s">
        <v>1965</v>
      </c>
      <c r="E823" s="166" t="s">
        <v>128</v>
      </c>
      <c r="F823" s="166" t="s">
        <v>128</v>
      </c>
      <c r="G823" s="167" t="s">
        <v>1997</v>
      </c>
    </row>
    <row r="824" spans="2:7" x14ac:dyDescent="0.25">
      <c r="B824" s="141" t="s">
        <v>1716</v>
      </c>
      <c r="C824" s="137" t="s">
        <v>2053</v>
      </c>
      <c r="D824" s="166" t="s">
        <v>1965</v>
      </c>
      <c r="E824" s="166" t="s">
        <v>128</v>
      </c>
      <c r="F824" s="166" t="s">
        <v>128</v>
      </c>
      <c r="G824" s="167" t="s">
        <v>1999</v>
      </c>
    </row>
    <row r="825" spans="2:7" x14ac:dyDescent="0.25">
      <c r="B825" s="141" t="s">
        <v>1716</v>
      </c>
      <c r="C825" s="137" t="s">
        <v>2054</v>
      </c>
      <c r="D825" s="166" t="s">
        <v>1965</v>
      </c>
      <c r="E825" s="166" t="s">
        <v>128</v>
      </c>
      <c r="F825" s="166" t="s">
        <v>128</v>
      </c>
      <c r="G825" s="167" t="s">
        <v>2001</v>
      </c>
    </row>
    <row r="826" spans="2:7" x14ac:dyDescent="0.25">
      <c r="B826" s="141" t="s">
        <v>1716</v>
      </c>
      <c r="C826" s="137" t="s">
        <v>2055</v>
      </c>
      <c r="D826" s="166" t="s">
        <v>1965</v>
      </c>
      <c r="E826" s="166" t="s">
        <v>128</v>
      </c>
      <c r="F826" s="166" t="s">
        <v>128</v>
      </c>
      <c r="G826" s="167" t="s">
        <v>2056</v>
      </c>
    </row>
    <row r="827" spans="2:7" x14ac:dyDescent="0.25">
      <c r="B827" s="141" t="s">
        <v>1716</v>
      </c>
      <c r="C827" s="137" t="s">
        <v>2057</v>
      </c>
      <c r="D827" s="166" t="s">
        <v>1965</v>
      </c>
      <c r="E827" s="166" t="s">
        <v>128</v>
      </c>
      <c r="F827" s="166" t="s">
        <v>128</v>
      </c>
      <c r="G827" s="167" t="s">
        <v>2058</v>
      </c>
    </row>
    <row r="828" spans="2:7" x14ac:dyDescent="0.25">
      <c r="B828" s="141" t="s">
        <v>1716</v>
      </c>
      <c r="C828" s="137" t="s">
        <v>2059</v>
      </c>
      <c r="D828" s="166" t="s">
        <v>1965</v>
      </c>
      <c r="E828" s="166" t="s">
        <v>128</v>
      </c>
      <c r="F828" s="166" t="s">
        <v>128</v>
      </c>
      <c r="G828" s="167" t="s">
        <v>2060</v>
      </c>
    </row>
    <row r="829" spans="2:7" x14ac:dyDescent="0.25">
      <c r="B829" s="141" t="s">
        <v>1716</v>
      </c>
      <c r="C829" s="137" t="s">
        <v>2061</v>
      </c>
      <c r="D829" s="166" t="s">
        <v>1965</v>
      </c>
      <c r="E829" s="166" t="s">
        <v>128</v>
      </c>
      <c r="F829" s="166" t="s">
        <v>128</v>
      </c>
      <c r="G829" s="167" t="s">
        <v>2062</v>
      </c>
    </row>
    <row r="830" spans="2:7" x14ac:dyDescent="0.25">
      <c r="B830" s="141" t="s">
        <v>1716</v>
      </c>
      <c r="C830" s="137" t="s">
        <v>2063</v>
      </c>
      <c r="D830" s="166" t="s">
        <v>1965</v>
      </c>
      <c r="E830" s="166" t="s">
        <v>128</v>
      </c>
      <c r="F830" s="166" t="s">
        <v>128</v>
      </c>
      <c r="G830" s="167" t="s">
        <v>2064</v>
      </c>
    </row>
    <row r="831" spans="2:7" x14ac:dyDescent="0.25">
      <c r="B831" s="141" t="s">
        <v>1716</v>
      </c>
      <c r="C831" s="137" t="s">
        <v>2066</v>
      </c>
      <c r="D831" s="166" t="s">
        <v>1965</v>
      </c>
      <c r="E831" s="166" t="s">
        <v>128</v>
      </c>
      <c r="F831" s="166" t="s">
        <v>128</v>
      </c>
      <c r="G831" s="167" t="s">
        <v>2067</v>
      </c>
    </row>
    <row r="832" spans="2:7" x14ac:dyDescent="0.25">
      <c r="B832" s="141" t="s">
        <v>1716</v>
      </c>
      <c r="C832" s="137" t="s">
        <v>2065</v>
      </c>
      <c r="D832" s="166" t="s">
        <v>1965</v>
      </c>
      <c r="E832" s="166" t="s">
        <v>128</v>
      </c>
      <c r="F832" s="166" t="s">
        <v>128</v>
      </c>
      <c r="G832" s="167" t="s">
        <v>2068</v>
      </c>
    </row>
    <row r="833" spans="2:7" x14ac:dyDescent="0.25">
      <c r="B833" s="141" t="s">
        <v>1716</v>
      </c>
      <c r="C833" s="137" t="s">
        <v>2069</v>
      </c>
      <c r="D833" s="166" t="s">
        <v>1965</v>
      </c>
      <c r="E833" s="166" t="s">
        <v>128</v>
      </c>
      <c r="F833" s="166" t="s">
        <v>128</v>
      </c>
      <c r="G833" s="167" t="s">
        <v>2070</v>
      </c>
    </row>
    <row r="834" spans="2:7" x14ac:dyDescent="0.25">
      <c r="B834" s="141" t="s">
        <v>1716</v>
      </c>
      <c r="C834" s="137" t="s">
        <v>2071</v>
      </c>
      <c r="D834" s="166" t="s">
        <v>1965</v>
      </c>
      <c r="E834" s="166" t="s">
        <v>128</v>
      </c>
      <c r="F834" s="166" t="s">
        <v>128</v>
      </c>
      <c r="G834" s="167" t="s">
        <v>2072</v>
      </c>
    </row>
    <row r="835" spans="2:7" x14ac:dyDescent="0.25">
      <c r="B835" s="141" t="s">
        <v>1716</v>
      </c>
      <c r="C835" s="137" t="s">
        <v>2073</v>
      </c>
      <c r="D835" s="166" t="s">
        <v>1965</v>
      </c>
      <c r="E835" s="166" t="s">
        <v>128</v>
      </c>
      <c r="F835" s="166" t="s">
        <v>128</v>
      </c>
      <c r="G835" s="167" t="s">
        <v>2074</v>
      </c>
    </row>
    <row r="836" spans="2:7" x14ac:dyDescent="0.25">
      <c r="B836" s="141" t="s">
        <v>1716</v>
      </c>
      <c r="C836" s="137" t="s">
        <v>2075</v>
      </c>
      <c r="D836" s="166" t="s">
        <v>1965</v>
      </c>
      <c r="E836" s="166" t="s">
        <v>128</v>
      </c>
      <c r="F836" s="166" t="s">
        <v>128</v>
      </c>
      <c r="G836" s="167" t="s">
        <v>2076</v>
      </c>
    </row>
    <row r="837" spans="2:7" x14ac:dyDescent="0.25">
      <c r="B837" s="141" t="s">
        <v>1716</v>
      </c>
      <c r="C837" s="137" t="s">
        <v>2077</v>
      </c>
      <c r="D837" s="166" t="s">
        <v>1965</v>
      </c>
      <c r="E837" s="166" t="s">
        <v>128</v>
      </c>
      <c r="F837" s="166" t="s">
        <v>128</v>
      </c>
      <c r="G837" s="167" t="s">
        <v>1981</v>
      </c>
    </row>
    <row r="838" spans="2:7" x14ac:dyDescent="0.25">
      <c r="B838" s="141" t="s">
        <v>1716</v>
      </c>
      <c r="C838" s="137" t="s">
        <v>2078</v>
      </c>
      <c r="D838" s="166" t="s">
        <v>1965</v>
      </c>
      <c r="E838" s="166" t="s">
        <v>128</v>
      </c>
      <c r="F838" s="166" t="s">
        <v>128</v>
      </c>
      <c r="G838" s="167" t="s">
        <v>2079</v>
      </c>
    </row>
    <row r="839" spans="2:7" x14ac:dyDescent="0.25">
      <c r="B839" s="141" t="s">
        <v>1716</v>
      </c>
      <c r="C839" s="137" t="s">
        <v>2080</v>
      </c>
      <c r="D839" s="166" t="s">
        <v>1965</v>
      </c>
      <c r="E839" s="166" t="s">
        <v>128</v>
      </c>
      <c r="F839" s="166" t="s">
        <v>128</v>
      </c>
      <c r="G839" s="167" t="s">
        <v>2081</v>
      </c>
    </row>
    <row r="840" spans="2:7" x14ac:dyDescent="0.25">
      <c r="B840" s="141" t="s">
        <v>1716</v>
      </c>
      <c r="C840" s="137" t="s">
        <v>2082</v>
      </c>
      <c r="D840" s="166" t="s">
        <v>1965</v>
      </c>
      <c r="E840" s="166" t="s">
        <v>128</v>
      </c>
      <c r="F840" s="166" t="s">
        <v>128</v>
      </c>
      <c r="G840" s="167" t="s">
        <v>2083</v>
      </c>
    </row>
    <row r="841" spans="2:7" x14ac:dyDescent="0.25">
      <c r="B841" s="141" t="s">
        <v>1716</v>
      </c>
      <c r="C841" s="137" t="s">
        <v>2084</v>
      </c>
      <c r="D841" s="166" t="s">
        <v>1965</v>
      </c>
      <c r="E841" s="166" t="s">
        <v>128</v>
      </c>
      <c r="F841" s="166" t="s">
        <v>128</v>
      </c>
      <c r="G841" s="167" t="s">
        <v>2085</v>
      </c>
    </row>
    <row r="842" spans="2:7" x14ac:dyDescent="0.25">
      <c r="B842" s="141" t="s">
        <v>1716</v>
      </c>
      <c r="C842" s="137" t="s">
        <v>2086</v>
      </c>
      <c r="D842" s="166" t="s">
        <v>1965</v>
      </c>
      <c r="E842" s="166" t="s">
        <v>128</v>
      </c>
      <c r="F842" s="166" t="s">
        <v>128</v>
      </c>
      <c r="G842" s="167" t="s">
        <v>2056</v>
      </c>
    </row>
    <row r="843" spans="2:7" x14ac:dyDescent="0.25">
      <c r="B843" s="141" t="s">
        <v>1716</v>
      </c>
      <c r="C843" s="137" t="s">
        <v>2087</v>
      </c>
      <c r="D843" s="166" t="s">
        <v>1965</v>
      </c>
      <c r="E843" s="166" t="s">
        <v>128</v>
      </c>
      <c r="F843" s="166" t="s">
        <v>128</v>
      </c>
      <c r="G843" s="167" t="s">
        <v>2058</v>
      </c>
    </row>
    <row r="844" spans="2:7" x14ac:dyDescent="0.25">
      <c r="B844" s="141" t="s">
        <v>1716</v>
      </c>
      <c r="C844" s="137" t="s">
        <v>2088</v>
      </c>
      <c r="D844" s="166" t="s">
        <v>1965</v>
      </c>
      <c r="E844" s="166" t="s">
        <v>128</v>
      </c>
      <c r="F844" s="166" t="s">
        <v>128</v>
      </c>
      <c r="G844" s="167" t="s">
        <v>2060</v>
      </c>
    </row>
    <row r="845" spans="2:7" x14ac:dyDescent="0.25">
      <c r="B845" s="141" t="s">
        <v>1716</v>
      </c>
      <c r="C845" s="137" t="s">
        <v>2089</v>
      </c>
      <c r="D845" s="166" t="s">
        <v>1965</v>
      </c>
      <c r="E845" s="166" t="s">
        <v>128</v>
      </c>
      <c r="F845" s="166" t="s">
        <v>128</v>
      </c>
      <c r="G845" s="167" t="s">
        <v>2062</v>
      </c>
    </row>
    <row r="846" spans="2:7" x14ac:dyDescent="0.25">
      <c r="B846" s="141" t="s">
        <v>1716</v>
      </c>
      <c r="C846" s="137" t="s">
        <v>2090</v>
      </c>
      <c r="D846" s="166" t="s">
        <v>1965</v>
      </c>
      <c r="E846" s="166" t="s">
        <v>128</v>
      </c>
      <c r="F846" s="166" t="s">
        <v>128</v>
      </c>
      <c r="G846" s="167" t="s">
        <v>2064</v>
      </c>
    </row>
    <row r="847" spans="2:7" x14ac:dyDescent="0.25">
      <c r="B847" s="141" t="s">
        <v>1716</v>
      </c>
      <c r="C847" s="137" t="s">
        <v>2091</v>
      </c>
      <c r="D847" s="166" t="s">
        <v>1965</v>
      </c>
      <c r="E847" s="166" t="s">
        <v>128</v>
      </c>
      <c r="F847" s="166" t="s">
        <v>128</v>
      </c>
      <c r="G847" s="167" t="s">
        <v>2067</v>
      </c>
    </row>
    <row r="848" spans="2:7" x14ac:dyDescent="0.25">
      <c r="B848" s="141" t="s">
        <v>1716</v>
      </c>
      <c r="C848" s="137" t="s">
        <v>2092</v>
      </c>
      <c r="D848" s="166" t="s">
        <v>1965</v>
      </c>
      <c r="E848" s="166" t="s">
        <v>128</v>
      </c>
      <c r="F848" s="166" t="s">
        <v>128</v>
      </c>
      <c r="G848" s="167" t="s">
        <v>2068</v>
      </c>
    </row>
    <row r="849" spans="2:7" x14ac:dyDescent="0.25">
      <c r="B849" s="141" t="s">
        <v>1716</v>
      </c>
      <c r="C849" s="137" t="s">
        <v>2093</v>
      </c>
      <c r="D849" s="166" t="s">
        <v>1965</v>
      </c>
      <c r="E849" s="166" t="s">
        <v>128</v>
      </c>
      <c r="F849" s="166" t="s">
        <v>128</v>
      </c>
      <c r="G849" s="167" t="s">
        <v>2070</v>
      </c>
    </row>
    <row r="850" spans="2:7" x14ac:dyDescent="0.25">
      <c r="B850" s="141" t="s">
        <v>1716</v>
      </c>
      <c r="C850" s="137" t="s">
        <v>2094</v>
      </c>
      <c r="D850" s="166" t="s">
        <v>1965</v>
      </c>
      <c r="E850" s="166" t="s">
        <v>128</v>
      </c>
      <c r="F850" s="166" t="s">
        <v>128</v>
      </c>
      <c r="G850" s="167" t="s">
        <v>2072</v>
      </c>
    </row>
    <row r="851" spans="2:7" x14ac:dyDescent="0.25">
      <c r="B851" s="141" t="s">
        <v>1716</v>
      </c>
      <c r="C851" s="137" t="s">
        <v>2095</v>
      </c>
      <c r="D851" s="166" t="s">
        <v>1965</v>
      </c>
      <c r="E851" s="166" t="s">
        <v>128</v>
      </c>
      <c r="F851" s="166" t="s">
        <v>128</v>
      </c>
      <c r="G851" s="167" t="s">
        <v>2074</v>
      </c>
    </row>
    <row r="852" spans="2:7" x14ac:dyDescent="0.25">
      <c r="B852" s="141" t="s">
        <v>1716</v>
      </c>
      <c r="C852" s="137" t="s">
        <v>2096</v>
      </c>
      <c r="D852" s="166" t="s">
        <v>1965</v>
      </c>
      <c r="E852" s="166" t="s">
        <v>128</v>
      </c>
      <c r="F852" s="166" t="s">
        <v>128</v>
      </c>
      <c r="G852" s="167" t="s">
        <v>2076</v>
      </c>
    </row>
    <row r="853" spans="2:7" x14ac:dyDescent="0.25">
      <c r="B853" s="141" t="s">
        <v>1716</v>
      </c>
      <c r="C853" s="137" t="s">
        <v>2097</v>
      </c>
      <c r="D853" s="166" t="s">
        <v>1965</v>
      </c>
      <c r="E853" s="166" t="s">
        <v>128</v>
      </c>
      <c r="F853" s="166" t="s">
        <v>128</v>
      </c>
      <c r="G853" s="167" t="s">
        <v>1981</v>
      </c>
    </row>
    <row r="854" spans="2:7" x14ac:dyDescent="0.25">
      <c r="B854" s="141" t="s">
        <v>1716</v>
      </c>
      <c r="C854" s="137" t="s">
        <v>2098</v>
      </c>
      <c r="D854" s="166" t="s">
        <v>1965</v>
      </c>
      <c r="E854" s="166" t="s">
        <v>128</v>
      </c>
      <c r="F854" s="166" t="s">
        <v>128</v>
      </c>
      <c r="G854" s="167" t="s">
        <v>2079</v>
      </c>
    </row>
    <row r="855" spans="2:7" x14ac:dyDescent="0.25">
      <c r="B855" s="141" t="s">
        <v>1716</v>
      </c>
      <c r="C855" s="137" t="s">
        <v>2099</v>
      </c>
      <c r="D855" s="166" t="s">
        <v>1965</v>
      </c>
      <c r="E855" s="166" t="s">
        <v>128</v>
      </c>
      <c r="F855" s="166" t="s">
        <v>128</v>
      </c>
      <c r="G855" s="167" t="s">
        <v>2081</v>
      </c>
    </row>
    <row r="856" spans="2:7" x14ac:dyDescent="0.25">
      <c r="B856" s="141" t="s">
        <v>1716</v>
      </c>
      <c r="C856" s="137" t="s">
        <v>2100</v>
      </c>
      <c r="D856" s="166" t="s">
        <v>1965</v>
      </c>
      <c r="E856" s="166" t="s">
        <v>128</v>
      </c>
      <c r="F856" s="166" t="s">
        <v>128</v>
      </c>
      <c r="G856" s="167" t="s">
        <v>2083</v>
      </c>
    </row>
    <row r="857" spans="2:7" x14ac:dyDescent="0.25">
      <c r="B857" s="141" t="s">
        <v>1716</v>
      </c>
      <c r="C857" s="137" t="s">
        <v>2101</v>
      </c>
      <c r="D857" s="166" t="s">
        <v>1965</v>
      </c>
      <c r="E857" s="166" t="s">
        <v>128</v>
      </c>
      <c r="F857" s="166" t="s">
        <v>128</v>
      </c>
      <c r="G857" s="167" t="s">
        <v>2085</v>
      </c>
    </row>
    <row r="858" spans="2:7" x14ac:dyDescent="0.25">
      <c r="B858" s="141" t="s">
        <v>1716</v>
      </c>
      <c r="C858" s="137" t="s">
        <v>2102</v>
      </c>
      <c r="D858" s="166" t="s">
        <v>1965</v>
      </c>
      <c r="E858" s="166" t="s">
        <v>128</v>
      </c>
      <c r="F858" s="166" t="s">
        <v>128</v>
      </c>
      <c r="G858" s="167" t="s">
        <v>2056</v>
      </c>
    </row>
    <row r="859" spans="2:7" x14ac:dyDescent="0.25">
      <c r="B859" s="141" t="s">
        <v>1716</v>
      </c>
      <c r="C859" s="137" t="s">
        <v>2103</v>
      </c>
      <c r="D859" s="166" t="s">
        <v>1965</v>
      </c>
      <c r="E859" s="166" t="s">
        <v>128</v>
      </c>
      <c r="F859" s="166" t="s">
        <v>128</v>
      </c>
      <c r="G859" s="167" t="s">
        <v>2058</v>
      </c>
    </row>
    <row r="860" spans="2:7" x14ac:dyDescent="0.25">
      <c r="B860" s="141" t="s">
        <v>1716</v>
      </c>
      <c r="C860" s="137" t="s">
        <v>2104</v>
      </c>
      <c r="D860" s="166" t="s">
        <v>1965</v>
      </c>
      <c r="E860" s="166" t="s">
        <v>128</v>
      </c>
      <c r="F860" s="166" t="s">
        <v>128</v>
      </c>
      <c r="G860" s="167" t="s">
        <v>2060</v>
      </c>
    </row>
    <row r="861" spans="2:7" x14ac:dyDescent="0.25">
      <c r="B861" s="141" t="s">
        <v>1716</v>
      </c>
      <c r="C861" s="137" t="s">
        <v>2106</v>
      </c>
      <c r="D861" s="166" t="s">
        <v>1965</v>
      </c>
      <c r="E861" s="166" t="s">
        <v>128</v>
      </c>
      <c r="F861" s="166" t="s">
        <v>128</v>
      </c>
      <c r="G861" s="167" t="s">
        <v>2062</v>
      </c>
    </row>
    <row r="862" spans="2:7" x14ac:dyDescent="0.25">
      <c r="B862" s="141" t="s">
        <v>1716</v>
      </c>
      <c r="C862" s="137" t="s">
        <v>2105</v>
      </c>
      <c r="D862" s="166" t="s">
        <v>1965</v>
      </c>
      <c r="E862" s="166" t="s">
        <v>128</v>
      </c>
      <c r="F862" s="166" t="s">
        <v>128</v>
      </c>
      <c r="G862" s="167" t="s">
        <v>2064</v>
      </c>
    </row>
    <row r="863" spans="2:7" x14ac:dyDescent="0.25">
      <c r="B863" s="141" t="s">
        <v>1716</v>
      </c>
      <c r="C863" s="137" t="s">
        <v>2107</v>
      </c>
      <c r="D863" s="166" t="s">
        <v>1965</v>
      </c>
      <c r="E863" s="166" t="s">
        <v>128</v>
      </c>
      <c r="F863" s="166" t="s">
        <v>128</v>
      </c>
      <c r="G863" s="167" t="s">
        <v>2067</v>
      </c>
    </row>
    <row r="864" spans="2:7" x14ac:dyDescent="0.25">
      <c r="B864" s="141" t="s">
        <v>1716</v>
      </c>
      <c r="C864" s="137" t="s">
        <v>2108</v>
      </c>
      <c r="D864" s="166" t="s">
        <v>1965</v>
      </c>
      <c r="E864" s="166" t="s">
        <v>128</v>
      </c>
      <c r="F864" s="166" t="s">
        <v>128</v>
      </c>
      <c r="G864" s="167" t="s">
        <v>2068</v>
      </c>
    </row>
    <row r="865" spans="2:7" x14ac:dyDescent="0.25">
      <c r="B865" s="141" t="s">
        <v>1716</v>
      </c>
      <c r="C865" s="137" t="s">
        <v>2109</v>
      </c>
      <c r="D865" s="166" t="s">
        <v>1965</v>
      </c>
      <c r="E865" s="166" t="s">
        <v>128</v>
      </c>
      <c r="F865" s="166" t="s">
        <v>128</v>
      </c>
      <c r="G865" s="167" t="s">
        <v>2070</v>
      </c>
    </row>
    <row r="866" spans="2:7" x14ac:dyDescent="0.25">
      <c r="B866" s="141" t="s">
        <v>1716</v>
      </c>
      <c r="C866" s="137" t="s">
        <v>2110</v>
      </c>
      <c r="D866" s="166" t="s">
        <v>1965</v>
      </c>
      <c r="E866" s="166" t="s">
        <v>128</v>
      </c>
      <c r="F866" s="166" t="s">
        <v>128</v>
      </c>
      <c r="G866" s="167" t="s">
        <v>2072</v>
      </c>
    </row>
    <row r="867" spans="2:7" x14ac:dyDescent="0.25">
      <c r="B867" s="141" t="s">
        <v>1716</v>
      </c>
      <c r="C867" s="137" t="s">
        <v>2111</v>
      </c>
      <c r="D867" s="166" t="s">
        <v>1965</v>
      </c>
      <c r="E867" s="166" t="s">
        <v>128</v>
      </c>
      <c r="F867" s="166" t="s">
        <v>128</v>
      </c>
      <c r="G867" s="167" t="s">
        <v>2074</v>
      </c>
    </row>
    <row r="868" spans="2:7" x14ac:dyDescent="0.25">
      <c r="B868" s="141" t="s">
        <v>1716</v>
      </c>
      <c r="C868" s="137" t="s">
        <v>2112</v>
      </c>
      <c r="D868" s="166" t="s">
        <v>1965</v>
      </c>
      <c r="E868" s="166" t="s">
        <v>128</v>
      </c>
      <c r="F868" s="166" t="s">
        <v>128</v>
      </c>
      <c r="G868" s="167" t="s">
        <v>2076</v>
      </c>
    </row>
    <row r="869" spans="2:7" x14ac:dyDescent="0.25">
      <c r="B869" s="141" t="s">
        <v>1716</v>
      </c>
      <c r="C869" s="137" t="s">
        <v>2113</v>
      </c>
      <c r="D869" s="166" t="s">
        <v>1965</v>
      </c>
      <c r="E869" s="166" t="s">
        <v>128</v>
      </c>
      <c r="F869" s="166" t="s">
        <v>128</v>
      </c>
      <c r="G869" s="167" t="s">
        <v>1981</v>
      </c>
    </row>
    <row r="870" spans="2:7" x14ac:dyDescent="0.25">
      <c r="B870" s="141" t="s">
        <v>1716</v>
      </c>
      <c r="C870" s="137" t="s">
        <v>2114</v>
      </c>
      <c r="D870" s="166" t="s">
        <v>1965</v>
      </c>
      <c r="E870" s="166" t="s">
        <v>128</v>
      </c>
      <c r="F870" s="166" t="s">
        <v>128</v>
      </c>
      <c r="G870" s="167" t="s">
        <v>2079</v>
      </c>
    </row>
    <row r="871" spans="2:7" x14ac:dyDescent="0.25">
      <c r="B871" s="141" t="s">
        <v>1716</v>
      </c>
      <c r="C871" s="137" t="s">
        <v>2115</v>
      </c>
      <c r="D871" s="166" t="s">
        <v>1965</v>
      </c>
      <c r="E871" s="166" t="s">
        <v>128</v>
      </c>
      <c r="F871" s="166" t="s">
        <v>128</v>
      </c>
      <c r="G871" s="167" t="s">
        <v>2081</v>
      </c>
    </row>
    <row r="872" spans="2:7" x14ac:dyDescent="0.25">
      <c r="B872" s="141" t="s">
        <v>1716</v>
      </c>
      <c r="C872" s="137" t="s">
        <v>2116</v>
      </c>
      <c r="D872" s="166" t="s">
        <v>1965</v>
      </c>
      <c r="E872" s="166" t="s">
        <v>128</v>
      </c>
      <c r="F872" s="166" t="s">
        <v>128</v>
      </c>
      <c r="G872" s="167" t="s">
        <v>2083</v>
      </c>
    </row>
    <row r="873" spans="2:7" x14ac:dyDescent="0.25">
      <c r="B873" s="141" t="s">
        <v>1716</v>
      </c>
      <c r="C873" s="137" t="s">
        <v>2117</v>
      </c>
      <c r="D873" s="166" t="s">
        <v>1965</v>
      </c>
      <c r="E873" s="166" t="s">
        <v>128</v>
      </c>
      <c r="F873" s="166" t="s">
        <v>128</v>
      </c>
      <c r="G873" s="167" t="s">
        <v>2085</v>
      </c>
    </row>
    <row r="874" spans="2:7" x14ac:dyDescent="0.25">
      <c r="B874" s="141" t="s">
        <v>1716</v>
      </c>
      <c r="C874" s="137" t="s">
        <v>2118</v>
      </c>
      <c r="D874" s="166" t="s">
        <v>1965</v>
      </c>
      <c r="E874" s="166" t="s">
        <v>128</v>
      </c>
      <c r="F874" s="166" t="s">
        <v>128</v>
      </c>
      <c r="G874" s="167" t="s">
        <v>2056</v>
      </c>
    </row>
    <row r="875" spans="2:7" x14ac:dyDescent="0.25">
      <c r="B875" s="141" t="s">
        <v>1716</v>
      </c>
      <c r="C875" s="137" t="s">
        <v>2119</v>
      </c>
      <c r="D875" s="166" t="s">
        <v>1965</v>
      </c>
      <c r="E875" s="166" t="s">
        <v>128</v>
      </c>
      <c r="F875" s="166" t="s">
        <v>128</v>
      </c>
      <c r="G875" s="167" t="s">
        <v>2058</v>
      </c>
    </row>
    <row r="876" spans="2:7" x14ac:dyDescent="0.25">
      <c r="B876" s="141" t="s">
        <v>1716</v>
      </c>
      <c r="C876" s="137" t="s">
        <v>2120</v>
      </c>
      <c r="D876" s="166" t="s">
        <v>1965</v>
      </c>
      <c r="E876" s="166" t="s">
        <v>128</v>
      </c>
      <c r="F876" s="166" t="s">
        <v>128</v>
      </c>
      <c r="G876" s="167" t="s">
        <v>2060</v>
      </c>
    </row>
    <row r="877" spans="2:7" x14ac:dyDescent="0.25">
      <c r="B877" s="141" t="s">
        <v>1716</v>
      </c>
      <c r="C877" s="137" t="s">
        <v>2121</v>
      </c>
      <c r="D877" s="166" t="s">
        <v>1965</v>
      </c>
      <c r="E877" s="166" t="s">
        <v>128</v>
      </c>
      <c r="F877" s="166" t="s">
        <v>128</v>
      </c>
      <c r="G877" s="167" t="s">
        <v>2062</v>
      </c>
    </row>
    <row r="878" spans="2:7" x14ac:dyDescent="0.25">
      <c r="B878" s="141" t="s">
        <v>1716</v>
      </c>
      <c r="C878" s="137" t="s">
        <v>2122</v>
      </c>
      <c r="D878" s="166" t="s">
        <v>1965</v>
      </c>
      <c r="E878" s="166" t="s">
        <v>128</v>
      </c>
      <c r="F878" s="166" t="s">
        <v>128</v>
      </c>
      <c r="G878" s="167" t="s">
        <v>2064</v>
      </c>
    </row>
    <row r="879" spans="2:7" x14ac:dyDescent="0.25">
      <c r="B879" s="141" t="s">
        <v>1716</v>
      </c>
      <c r="C879" s="137" t="s">
        <v>2123</v>
      </c>
      <c r="D879" s="166" t="s">
        <v>1965</v>
      </c>
      <c r="E879" s="166" t="s">
        <v>128</v>
      </c>
      <c r="F879" s="166" t="s">
        <v>128</v>
      </c>
      <c r="G879" s="167" t="s">
        <v>2067</v>
      </c>
    </row>
    <row r="880" spans="2:7" x14ac:dyDescent="0.25">
      <c r="B880" s="141" t="s">
        <v>1716</v>
      </c>
      <c r="C880" s="137" t="s">
        <v>2124</v>
      </c>
      <c r="D880" s="166" t="s">
        <v>1965</v>
      </c>
      <c r="E880" s="166" t="s">
        <v>128</v>
      </c>
      <c r="F880" s="166" t="s">
        <v>128</v>
      </c>
      <c r="G880" s="167" t="s">
        <v>2068</v>
      </c>
    </row>
    <row r="881" spans="2:7" x14ac:dyDescent="0.25">
      <c r="B881" s="141" t="s">
        <v>1716</v>
      </c>
      <c r="C881" s="137" t="s">
        <v>2125</v>
      </c>
      <c r="D881" s="166" t="s">
        <v>1965</v>
      </c>
      <c r="E881" s="166" t="s">
        <v>128</v>
      </c>
      <c r="F881" s="166" t="s">
        <v>128</v>
      </c>
      <c r="G881" s="167" t="s">
        <v>2070</v>
      </c>
    </row>
    <row r="882" spans="2:7" x14ac:dyDescent="0.25">
      <c r="B882" s="141" t="s">
        <v>1716</v>
      </c>
      <c r="C882" s="137" t="s">
        <v>2126</v>
      </c>
      <c r="D882" s="166" t="s">
        <v>1965</v>
      </c>
      <c r="E882" s="166" t="s">
        <v>128</v>
      </c>
      <c r="F882" s="166" t="s">
        <v>128</v>
      </c>
      <c r="G882" s="167" t="s">
        <v>2072</v>
      </c>
    </row>
    <row r="883" spans="2:7" x14ac:dyDescent="0.25">
      <c r="B883" s="141" t="s">
        <v>1716</v>
      </c>
      <c r="C883" s="137" t="s">
        <v>2127</v>
      </c>
      <c r="D883" s="166" t="s">
        <v>1965</v>
      </c>
      <c r="E883" s="166" t="s">
        <v>128</v>
      </c>
      <c r="F883" s="166" t="s">
        <v>128</v>
      </c>
      <c r="G883" s="167" t="s">
        <v>2074</v>
      </c>
    </row>
    <row r="884" spans="2:7" x14ac:dyDescent="0.25">
      <c r="B884" s="141" t="s">
        <v>1716</v>
      </c>
      <c r="C884" s="137" t="s">
        <v>2128</v>
      </c>
      <c r="D884" s="166" t="s">
        <v>1965</v>
      </c>
      <c r="E884" s="166" t="s">
        <v>128</v>
      </c>
      <c r="F884" s="166" t="s">
        <v>128</v>
      </c>
      <c r="G884" s="167" t="s">
        <v>2076</v>
      </c>
    </row>
    <row r="885" spans="2:7" x14ac:dyDescent="0.25">
      <c r="B885" s="141" t="s">
        <v>1716</v>
      </c>
      <c r="C885" s="137" t="s">
        <v>2129</v>
      </c>
      <c r="D885" s="166" t="s">
        <v>1965</v>
      </c>
      <c r="E885" s="166" t="s">
        <v>128</v>
      </c>
      <c r="F885" s="166" t="s">
        <v>128</v>
      </c>
      <c r="G885" s="167" t="s">
        <v>1981</v>
      </c>
    </row>
    <row r="886" spans="2:7" x14ac:dyDescent="0.25">
      <c r="B886" s="141" t="s">
        <v>1716</v>
      </c>
      <c r="C886" s="137" t="s">
        <v>2130</v>
      </c>
      <c r="D886" s="166" t="s">
        <v>1965</v>
      </c>
      <c r="E886" s="166" t="s">
        <v>128</v>
      </c>
      <c r="F886" s="166" t="s">
        <v>128</v>
      </c>
      <c r="G886" s="167" t="s">
        <v>2079</v>
      </c>
    </row>
    <row r="887" spans="2:7" x14ac:dyDescent="0.25">
      <c r="B887" s="141" t="s">
        <v>1716</v>
      </c>
      <c r="C887" s="137" t="s">
        <v>2131</v>
      </c>
      <c r="D887" s="166" t="s">
        <v>1965</v>
      </c>
      <c r="E887" s="166" t="s">
        <v>128</v>
      </c>
      <c r="F887" s="166" t="s">
        <v>128</v>
      </c>
      <c r="G887" s="167" t="s">
        <v>2081</v>
      </c>
    </row>
    <row r="888" spans="2:7" x14ac:dyDescent="0.25">
      <c r="B888" s="141" t="s">
        <v>1716</v>
      </c>
      <c r="C888" s="137" t="s">
        <v>2132</v>
      </c>
      <c r="D888" s="166" t="s">
        <v>1965</v>
      </c>
      <c r="E888" s="166" t="s">
        <v>128</v>
      </c>
      <c r="F888" s="166" t="s">
        <v>128</v>
      </c>
      <c r="G888" s="167" t="s">
        <v>2083</v>
      </c>
    </row>
    <row r="889" spans="2:7" x14ac:dyDescent="0.25">
      <c r="B889" s="143" t="s">
        <v>1716</v>
      </c>
      <c r="C889" s="168" t="s">
        <v>2133</v>
      </c>
      <c r="D889" s="169" t="s">
        <v>1965</v>
      </c>
      <c r="E889" s="169" t="s">
        <v>128</v>
      </c>
      <c r="F889" s="169" t="s">
        <v>128</v>
      </c>
      <c r="G889" s="170" t="s">
        <v>2085</v>
      </c>
    </row>
    <row r="890" spans="2:7" x14ac:dyDescent="0.25">
      <c r="B890" s="141" t="s">
        <v>1717</v>
      </c>
      <c r="C890" s="137" t="s">
        <v>2136</v>
      </c>
      <c r="D890" s="166" t="s">
        <v>2134</v>
      </c>
      <c r="E890" s="166" t="s">
        <v>128</v>
      </c>
      <c r="F890" s="166" t="s">
        <v>128</v>
      </c>
      <c r="G890" s="167" t="s">
        <v>2135</v>
      </c>
    </row>
    <row r="891" spans="2:7" x14ac:dyDescent="0.25">
      <c r="B891" s="141" t="s">
        <v>1717</v>
      </c>
      <c r="C891" s="137" t="s">
        <v>2137</v>
      </c>
      <c r="D891" s="166" t="s">
        <v>2134</v>
      </c>
      <c r="E891" s="166" t="s">
        <v>128</v>
      </c>
      <c r="F891" s="166" t="s">
        <v>128</v>
      </c>
      <c r="G891" s="167" t="s">
        <v>2135</v>
      </c>
    </row>
    <row r="892" spans="2:7" x14ac:dyDescent="0.25">
      <c r="B892" s="141" t="s">
        <v>1717</v>
      </c>
      <c r="C892" s="137" t="s">
        <v>2138</v>
      </c>
      <c r="D892" s="166" t="s">
        <v>2134</v>
      </c>
      <c r="E892" s="166" t="s">
        <v>128</v>
      </c>
      <c r="F892" s="166" t="s">
        <v>128</v>
      </c>
      <c r="G892" s="167" t="s">
        <v>2135</v>
      </c>
    </row>
    <row r="893" spans="2:7" x14ac:dyDescent="0.25">
      <c r="B893" s="141" t="s">
        <v>1717</v>
      </c>
      <c r="C893" s="137" t="s">
        <v>2139</v>
      </c>
      <c r="D893" s="166" t="s">
        <v>2134</v>
      </c>
      <c r="E893" s="166" t="s">
        <v>128</v>
      </c>
      <c r="F893" s="166" t="s">
        <v>128</v>
      </c>
      <c r="G893" s="167" t="s">
        <v>2142</v>
      </c>
    </row>
    <row r="894" spans="2:7" x14ac:dyDescent="0.25">
      <c r="B894" s="141" t="s">
        <v>1717</v>
      </c>
      <c r="C894" s="137" t="s">
        <v>2140</v>
      </c>
      <c r="D894" s="166" t="s">
        <v>2134</v>
      </c>
      <c r="E894" s="166" t="s">
        <v>128</v>
      </c>
      <c r="F894" s="166" t="s">
        <v>128</v>
      </c>
      <c r="G894" s="167" t="s">
        <v>2142</v>
      </c>
    </row>
    <row r="895" spans="2:7" x14ac:dyDescent="0.25">
      <c r="B895" s="141" t="s">
        <v>1717</v>
      </c>
      <c r="C895" s="137" t="s">
        <v>2141</v>
      </c>
      <c r="D895" s="166" t="s">
        <v>2134</v>
      </c>
      <c r="E895" s="166" t="s">
        <v>128</v>
      </c>
      <c r="F895" s="166" t="s">
        <v>128</v>
      </c>
      <c r="G895" s="167" t="s">
        <v>2142</v>
      </c>
    </row>
    <row r="896" spans="2:7" x14ac:dyDescent="0.25">
      <c r="B896" s="141" t="s">
        <v>1717</v>
      </c>
      <c r="C896" s="137" t="s">
        <v>2143</v>
      </c>
      <c r="D896" s="166" t="s">
        <v>2134</v>
      </c>
      <c r="E896" s="166" t="s">
        <v>128</v>
      </c>
      <c r="F896" s="166" t="s">
        <v>128</v>
      </c>
      <c r="G896" s="167" t="s">
        <v>2146</v>
      </c>
    </row>
    <row r="897" spans="2:7" x14ac:dyDescent="0.25">
      <c r="B897" s="141" t="s">
        <v>1717</v>
      </c>
      <c r="C897" s="137" t="s">
        <v>2144</v>
      </c>
      <c r="D897" s="166" t="s">
        <v>2134</v>
      </c>
      <c r="E897" s="166" t="s">
        <v>128</v>
      </c>
      <c r="F897" s="166" t="s">
        <v>128</v>
      </c>
      <c r="G897" s="167" t="s">
        <v>2146</v>
      </c>
    </row>
    <row r="898" spans="2:7" x14ac:dyDescent="0.25">
      <c r="B898" s="141" t="s">
        <v>1717</v>
      </c>
      <c r="C898" s="137" t="s">
        <v>2145</v>
      </c>
      <c r="D898" s="166" t="s">
        <v>2134</v>
      </c>
      <c r="E898" s="166" t="s">
        <v>128</v>
      </c>
      <c r="F898" s="166" t="s">
        <v>128</v>
      </c>
      <c r="G898" s="167" t="s">
        <v>2146</v>
      </c>
    </row>
    <row r="899" spans="2:7" x14ac:dyDescent="0.25">
      <c r="B899" s="141" t="s">
        <v>1717</v>
      </c>
      <c r="C899" s="137" t="s">
        <v>2147</v>
      </c>
      <c r="D899" s="166" t="s">
        <v>2134</v>
      </c>
      <c r="E899" s="166" t="s">
        <v>128</v>
      </c>
      <c r="F899" s="166" t="s">
        <v>128</v>
      </c>
      <c r="G899" s="167" t="s">
        <v>393</v>
      </c>
    </row>
    <row r="900" spans="2:7" x14ac:dyDescent="0.25">
      <c r="B900" s="141" t="s">
        <v>1717</v>
      </c>
      <c r="C900" s="137" t="s">
        <v>2148</v>
      </c>
      <c r="D900" s="166" t="s">
        <v>2134</v>
      </c>
      <c r="E900" s="166" t="s">
        <v>128</v>
      </c>
      <c r="F900" s="166" t="s">
        <v>128</v>
      </c>
      <c r="G900" s="167" t="s">
        <v>393</v>
      </c>
    </row>
    <row r="901" spans="2:7" x14ac:dyDescent="0.25">
      <c r="B901" s="141" t="s">
        <v>1717</v>
      </c>
      <c r="C901" s="137" t="s">
        <v>2149</v>
      </c>
      <c r="D901" s="166" t="s">
        <v>2134</v>
      </c>
      <c r="E901" s="166" t="s">
        <v>128</v>
      </c>
      <c r="F901" s="166" t="s">
        <v>128</v>
      </c>
      <c r="G901" s="167" t="s">
        <v>393</v>
      </c>
    </row>
    <row r="902" spans="2:7" x14ac:dyDescent="0.25">
      <c r="B902" s="141" t="s">
        <v>1717</v>
      </c>
      <c r="C902" s="137" t="s">
        <v>2150</v>
      </c>
      <c r="D902" s="166" t="s">
        <v>2134</v>
      </c>
      <c r="E902" s="166" t="s">
        <v>128</v>
      </c>
      <c r="F902" s="166" t="s">
        <v>128</v>
      </c>
      <c r="G902" s="167" t="s">
        <v>675</v>
      </c>
    </row>
    <row r="903" spans="2:7" x14ac:dyDescent="0.25">
      <c r="B903" s="141" t="s">
        <v>1717</v>
      </c>
      <c r="C903" s="137" t="s">
        <v>2151</v>
      </c>
      <c r="D903" s="166" t="s">
        <v>2134</v>
      </c>
      <c r="E903" s="166" t="s">
        <v>128</v>
      </c>
      <c r="F903" s="166" t="s">
        <v>128</v>
      </c>
      <c r="G903" s="167" t="s">
        <v>675</v>
      </c>
    </row>
    <row r="904" spans="2:7" x14ac:dyDescent="0.25">
      <c r="B904" s="141" t="s">
        <v>1717</v>
      </c>
      <c r="C904" s="137" t="s">
        <v>2152</v>
      </c>
      <c r="D904" s="166" t="s">
        <v>2134</v>
      </c>
      <c r="E904" s="166" t="s">
        <v>128</v>
      </c>
      <c r="F904" s="166" t="s">
        <v>128</v>
      </c>
      <c r="G904" s="167" t="s">
        <v>675</v>
      </c>
    </row>
    <row r="905" spans="2:7" x14ac:dyDescent="0.25">
      <c r="B905" s="141" t="s">
        <v>1717</v>
      </c>
      <c r="C905" s="137" t="s">
        <v>2153</v>
      </c>
      <c r="D905" s="166" t="s">
        <v>2134</v>
      </c>
      <c r="E905" s="166" t="s">
        <v>128</v>
      </c>
      <c r="F905" s="166" t="s">
        <v>128</v>
      </c>
      <c r="G905" s="167" t="s">
        <v>399</v>
      </c>
    </row>
    <row r="906" spans="2:7" x14ac:dyDescent="0.25">
      <c r="B906" s="141" t="s">
        <v>1717</v>
      </c>
      <c r="C906" s="137" t="s">
        <v>2154</v>
      </c>
      <c r="D906" s="166" t="s">
        <v>2134</v>
      </c>
      <c r="E906" s="166" t="s">
        <v>128</v>
      </c>
      <c r="F906" s="166" t="s">
        <v>128</v>
      </c>
      <c r="G906" s="167" t="s">
        <v>399</v>
      </c>
    </row>
    <row r="907" spans="2:7" x14ac:dyDescent="0.25">
      <c r="B907" s="141" t="s">
        <v>1717</v>
      </c>
      <c r="C907" s="137" t="s">
        <v>2155</v>
      </c>
      <c r="D907" s="166" t="s">
        <v>2134</v>
      </c>
      <c r="E907" s="166" t="s">
        <v>128</v>
      </c>
      <c r="F907" s="166" t="s">
        <v>128</v>
      </c>
      <c r="G907" s="167" t="s">
        <v>399</v>
      </c>
    </row>
    <row r="908" spans="2:7" x14ac:dyDescent="0.25">
      <c r="B908" s="141" t="s">
        <v>1717</v>
      </c>
      <c r="C908" s="137" t="s">
        <v>2156</v>
      </c>
      <c r="D908" s="166" t="s">
        <v>2134</v>
      </c>
      <c r="E908" s="166" t="s">
        <v>128</v>
      </c>
      <c r="F908" s="166" t="s">
        <v>128</v>
      </c>
      <c r="G908" s="167" t="s">
        <v>2159</v>
      </c>
    </row>
    <row r="909" spans="2:7" x14ac:dyDescent="0.25">
      <c r="B909" s="141" t="s">
        <v>1717</v>
      </c>
      <c r="C909" s="137" t="s">
        <v>2157</v>
      </c>
      <c r="D909" s="166" t="s">
        <v>2134</v>
      </c>
      <c r="E909" s="166" t="s">
        <v>128</v>
      </c>
      <c r="F909" s="166" t="s">
        <v>128</v>
      </c>
      <c r="G909" s="167" t="s">
        <v>2159</v>
      </c>
    </row>
    <row r="910" spans="2:7" x14ac:dyDescent="0.25">
      <c r="B910" s="141" t="s">
        <v>1717</v>
      </c>
      <c r="C910" s="137" t="s">
        <v>2158</v>
      </c>
      <c r="D910" s="166" t="s">
        <v>2134</v>
      </c>
      <c r="E910" s="166" t="s">
        <v>128</v>
      </c>
      <c r="F910" s="166" t="s">
        <v>128</v>
      </c>
      <c r="G910" s="167" t="s">
        <v>2159</v>
      </c>
    </row>
    <row r="911" spans="2:7" x14ac:dyDescent="0.25">
      <c r="B911" s="141" t="s">
        <v>1717</v>
      </c>
      <c r="C911" s="137" t="s">
        <v>2160</v>
      </c>
      <c r="D911" s="166" t="s">
        <v>2134</v>
      </c>
      <c r="E911" s="166" t="s">
        <v>128</v>
      </c>
      <c r="F911" s="166" t="s">
        <v>128</v>
      </c>
      <c r="G911" s="167" t="s">
        <v>403</v>
      </c>
    </row>
    <row r="912" spans="2:7" x14ac:dyDescent="0.25">
      <c r="B912" s="141" t="s">
        <v>1717</v>
      </c>
      <c r="C912" s="137" t="s">
        <v>2161</v>
      </c>
      <c r="D912" s="166" t="s">
        <v>2134</v>
      </c>
      <c r="E912" s="166" t="s">
        <v>128</v>
      </c>
      <c r="F912" s="166" t="s">
        <v>128</v>
      </c>
      <c r="G912" s="167" t="s">
        <v>403</v>
      </c>
    </row>
    <row r="913" spans="2:7" x14ac:dyDescent="0.25">
      <c r="B913" s="141" t="s">
        <v>1717</v>
      </c>
      <c r="C913" s="137" t="s">
        <v>2162</v>
      </c>
      <c r="D913" s="166" t="s">
        <v>2134</v>
      </c>
      <c r="E913" s="166" t="s">
        <v>128</v>
      </c>
      <c r="F913" s="166" t="s">
        <v>128</v>
      </c>
      <c r="G913" s="167" t="s">
        <v>403</v>
      </c>
    </row>
    <row r="914" spans="2:7" x14ac:dyDescent="0.25">
      <c r="B914" s="141" t="s">
        <v>1717</v>
      </c>
      <c r="C914" s="137" t="s">
        <v>2163</v>
      </c>
      <c r="D914" s="166" t="s">
        <v>2134</v>
      </c>
      <c r="E914" s="166" t="s">
        <v>128</v>
      </c>
      <c r="F914" s="166" t="s">
        <v>128</v>
      </c>
      <c r="G914" s="167" t="s">
        <v>406</v>
      </c>
    </row>
    <row r="915" spans="2:7" x14ac:dyDescent="0.25">
      <c r="B915" s="141" t="s">
        <v>1717</v>
      </c>
      <c r="C915" s="137" t="s">
        <v>2164</v>
      </c>
      <c r="D915" s="166" t="s">
        <v>2134</v>
      </c>
      <c r="E915" s="166" t="s">
        <v>128</v>
      </c>
      <c r="F915" s="166" t="s">
        <v>128</v>
      </c>
      <c r="G915" s="167" t="s">
        <v>406</v>
      </c>
    </row>
    <row r="916" spans="2:7" x14ac:dyDescent="0.25">
      <c r="B916" s="141" t="s">
        <v>1717</v>
      </c>
      <c r="C916" s="137" t="s">
        <v>2165</v>
      </c>
      <c r="D916" s="166" t="s">
        <v>2134</v>
      </c>
      <c r="E916" s="166" t="s">
        <v>128</v>
      </c>
      <c r="F916" s="166" t="s">
        <v>128</v>
      </c>
      <c r="G916" s="167" t="s">
        <v>406</v>
      </c>
    </row>
    <row r="917" spans="2:7" x14ac:dyDescent="0.25">
      <c r="B917" s="141" t="s">
        <v>1717</v>
      </c>
      <c r="C917" s="137" t="s">
        <v>2166</v>
      </c>
      <c r="D917" s="166" t="s">
        <v>2134</v>
      </c>
      <c r="E917" s="166" t="s">
        <v>128</v>
      </c>
      <c r="F917" s="166" t="s">
        <v>128</v>
      </c>
      <c r="G917" s="167" t="s">
        <v>2169</v>
      </c>
    </row>
    <row r="918" spans="2:7" x14ac:dyDescent="0.25">
      <c r="B918" s="141" t="s">
        <v>1717</v>
      </c>
      <c r="C918" s="137" t="s">
        <v>2167</v>
      </c>
      <c r="D918" s="166" t="s">
        <v>2134</v>
      </c>
      <c r="E918" s="166" t="s">
        <v>128</v>
      </c>
      <c r="F918" s="166" t="s">
        <v>128</v>
      </c>
      <c r="G918" s="167" t="s">
        <v>2169</v>
      </c>
    </row>
    <row r="919" spans="2:7" x14ac:dyDescent="0.25">
      <c r="B919" s="141" t="s">
        <v>1717</v>
      </c>
      <c r="C919" s="137" t="s">
        <v>2168</v>
      </c>
      <c r="D919" s="166" t="s">
        <v>2134</v>
      </c>
      <c r="E919" s="166" t="s">
        <v>128</v>
      </c>
      <c r="F919" s="166" t="s">
        <v>128</v>
      </c>
      <c r="G919" s="167" t="s">
        <v>2169</v>
      </c>
    </row>
    <row r="920" spans="2:7" x14ac:dyDescent="0.25">
      <c r="B920" s="141" t="s">
        <v>1717</v>
      </c>
      <c r="C920" s="137" t="s">
        <v>2170</v>
      </c>
      <c r="D920" s="166" t="s">
        <v>2134</v>
      </c>
      <c r="E920" s="166" t="s">
        <v>128</v>
      </c>
      <c r="F920" s="166" t="s">
        <v>128</v>
      </c>
      <c r="G920" s="167" t="s">
        <v>2173</v>
      </c>
    </row>
    <row r="921" spans="2:7" x14ac:dyDescent="0.25">
      <c r="B921" s="141" t="s">
        <v>1717</v>
      </c>
      <c r="C921" s="137" t="s">
        <v>2171</v>
      </c>
      <c r="D921" s="166" t="s">
        <v>2134</v>
      </c>
      <c r="E921" s="166" t="s">
        <v>128</v>
      </c>
      <c r="F921" s="166" t="s">
        <v>128</v>
      </c>
      <c r="G921" s="167" t="s">
        <v>2173</v>
      </c>
    </row>
    <row r="922" spans="2:7" x14ac:dyDescent="0.25">
      <c r="B922" s="141" t="s">
        <v>1717</v>
      </c>
      <c r="C922" s="137" t="s">
        <v>2172</v>
      </c>
      <c r="D922" s="166" t="s">
        <v>2134</v>
      </c>
      <c r="E922" s="166" t="s">
        <v>128</v>
      </c>
      <c r="F922" s="166" t="s">
        <v>128</v>
      </c>
      <c r="G922" s="167" t="s">
        <v>2173</v>
      </c>
    </row>
    <row r="923" spans="2:7" x14ac:dyDescent="0.25">
      <c r="B923" s="141" t="s">
        <v>1717</v>
      </c>
      <c r="C923" s="137" t="s">
        <v>2174</v>
      </c>
      <c r="D923" s="166" t="s">
        <v>2134</v>
      </c>
      <c r="E923" s="166" t="s">
        <v>128</v>
      </c>
      <c r="F923" s="166" t="s">
        <v>128</v>
      </c>
      <c r="G923" s="167" t="s">
        <v>681</v>
      </c>
    </row>
    <row r="924" spans="2:7" x14ac:dyDescent="0.25">
      <c r="B924" s="141" t="s">
        <v>1717</v>
      </c>
      <c r="C924" s="137" t="s">
        <v>2175</v>
      </c>
      <c r="D924" s="166" t="s">
        <v>2134</v>
      </c>
      <c r="E924" s="166" t="s">
        <v>128</v>
      </c>
      <c r="F924" s="166" t="s">
        <v>128</v>
      </c>
      <c r="G924" s="167" t="s">
        <v>681</v>
      </c>
    </row>
    <row r="925" spans="2:7" x14ac:dyDescent="0.25">
      <c r="B925" s="141" t="s">
        <v>1717</v>
      </c>
      <c r="C925" s="137" t="s">
        <v>2176</v>
      </c>
      <c r="D925" s="166" t="s">
        <v>2134</v>
      </c>
      <c r="E925" s="166" t="s">
        <v>128</v>
      </c>
      <c r="F925" s="166" t="s">
        <v>128</v>
      </c>
      <c r="G925" s="167" t="s">
        <v>681</v>
      </c>
    </row>
    <row r="926" spans="2:7" x14ac:dyDescent="0.25">
      <c r="B926" s="141" t="s">
        <v>1717</v>
      </c>
      <c r="C926" s="137" t="s">
        <v>2177</v>
      </c>
      <c r="D926" s="166" t="s">
        <v>2134</v>
      </c>
      <c r="E926" s="166" t="s">
        <v>128</v>
      </c>
      <c r="F926" s="166" t="s">
        <v>128</v>
      </c>
      <c r="G926" s="167" t="s">
        <v>2180</v>
      </c>
    </row>
    <row r="927" spans="2:7" x14ac:dyDescent="0.25">
      <c r="B927" s="141" t="s">
        <v>1717</v>
      </c>
      <c r="C927" s="137" t="s">
        <v>2178</v>
      </c>
      <c r="D927" s="166" t="s">
        <v>2134</v>
      </c>
      <c r="E927" s="166" t="s">
        <v>128</v>
      </c>
      <c r="F927" s="166" t="s">
        <v>128</v>
      </c>
      <c r="G927" s="167" t="s">
        <v>2180</v>
      </c>
    </row>
    <row r="928" spans="2:7" x14ac:dyDescent="0.25">
      <c r="B928" s="141" t="s">
        <v>1717</v>
      </c>
      <c r="C928" s="137" t="s">
        <v>2179</v>
      </c>
      <c r="D928" s="166" t="s">
        <v>2134</v>
      </c>
      <c r="E928" s="166" t="s">
        <v>128</v>
      </c>
      <c r="F928" s="166" t="s">
        <v>128</v>
      </c>
      <c r="G928" s="167" t="s">
        <v>2180</v>
      </c>
    </row>
    <row r="929" spans="2:7" x14ac:dyDescent="0.25">
      <c r="B929" s="141" t="s">
        <v>1717</v>
      </c>
      <c r="C929" s="137" t="s">
        <v>2181</v>
      </c>
      <c r="D929" s="166" t="s">
        <v>2134</v>
      </c>
      <c r="E929" s="166" t="s">
        <v>128</v>
      </c>
      <c r="F929" s="166" t="s">
        <v>128</v>
      </c>
      <c r="G929" s="167" t="s">
        <v>683</v>
      </c>
    </row>
    <row r="930" spans="2:7" x14ac:dyDescent="0.25">
      <c r="B930" s="141" t="s">
        <v>1717</v>
      </c>
      <c r="C930" s="137" t="s">
        <v>2182</v>
      </c>
      <c r="D930" s="166" t="s">
        <v>2134</v>
      </c>
      <c r="E930" s="166" t="s">
        <v>128</v>
      </c>
      <c r="F930" s="166" t="s">
        <v>128</v>
      </c>
      <c r="G930" s="167" t="s">
        <v>683</v>
      </c>
    </row>
    <row r="931" spans="2:7" x14ac:dyDescent="0.25">
      <c r="B931" s="141" t="s">
        <v>1717</v>
      </c>
      <c r="C931" s="137" t="s">
        <v>2183</v>
      </c>
      <c r="D931" s="166" t="s">
        <v>2134</v>
      </c>
      <c r="E931" s="166" t="s">
        <v>128</v>
      </c>
      <c r="F931" s="166" t="s">
        <v>128</v>
      </c>
      <c r="G931" s="167" t="s">
        <v>683</v>
      </c>
    </row>
    <row r="932" spans="2:7" x14ac:dyDescent="0.25">
      <c r="B932" s="141" t="s">
        <v>1717</v>
      </c>
      <c r="C932" s="137" t="s">
        <v>2184</v>
      </c>
      <c r="D932" s="166" t="s">
        <v>2134</v>
      </c>
      <c r="E932" s="166" t="s">
        <v>128</v>
      </c>
      <c r="F932" s="166" t="s">
        <v>128</v>
      </c>
      <c r="G932" s="167" t="s">
        <v>2187</v>
      </c>
    </row>
    <row r="933" spans="2:7" x14ac:dyDescent="0.25">
      <c r="B933" s="141" t="s">
        <v>1717</v>
      </c>
      <c r="C933" s="137" t="s">
        <v>2185</v>
      </c>
      <c r="D933" s="166" t="s">
        <v>2134</v>
      </c>
      <c r="E933" s="166" t="s">
        <v>128</v>
      </c>
      <c r="F933" s="166" t="s">
        <v>128</v>
      </c>
      <c r="G933" s="167" t="s">
        <v>2187</v>
      </c>
    </row>
    <row r="934" spans="2:7" x14ac:dyDescent="0.25">
      <c r="B934" s="141" t="s">
        <v>1717</v>
      </c>
      <c r="C934" s="137" t="s">
        <v>2186</v>
      </c>
      <c r="D934" s="166" t="s">
        <v>2134</v>
      </c>
      <c r="E934" s="166" t="s">
        <v>128</v>
      </c>
      <c r="F934" s="166" t="s">
        <v>128</v>
      </c>
      <c r="G934" s="167" t="s">
        <v>2187</v>
      </c>
    </row>
    <row r="935" spans="2:7" x14ac:dyDescent="0.25">
      <c r="B935" s="141" t="s">
        <v>1717</v>
      </c>
      <c r="C935" s="137" t="s">
        <v>2188</v>
      </c>
      <c r="D935" s="166" t="s">
        <v>2134</v>
      </c>
      <c r="E935" s="166" t="s">
        <v>128</v>
      </c>
      <c r="F935" s="166" t="s">
        <v>128</v>
      </c>
      <c r="G935" s="167" t="s">
        <v>2191</v>
      </c>
    </row>
    <row r="936" spans="2:7" x14ac:dyDescent="0.25">
      <c r="B936" s="141" t="s">
        <v>1717</v>
      </c>
      <c r="C936" s="137" t="s">
        <v>2189</v>
      </c>
      <c r="D936" s="166" t="s">
        <v>2134</v>
      </c>
      <c r="E936" s="166" t="s">
        <v>128</v>
      </c>
      <c r="F936" s="166" t="s">
        <v>128</v>
      </c>
      <c r="G936" s="167" t="s">
        <v>2191</v>
      </c>
    </row>
    <row r="937" spans="2:7" x14ac:dyDescent="0.25">
      <c r="B937" s="141" t="s">
        <v>1717</v>
      </c>
      <c r="C937" s="137" t="s">
        <v>2190</v>
      </c>
      <c r="D937" s="166" t="s">
        <v>2134</v>
      </c>
      <c r="E937" s="166" t="s">
        <v>128</v>
      </c>
      <c r="F937" s="166" t="s">
        <v>128</v>
      </c>
      <c r="G937" s="167" t="s">
        <v>2191</v>
      </c>
    </row>
    <row r="938" spans="2:7" x14ac:dyDescent="0.25">
      <c r="B938" s="141" t="s">
        <v>1717</v>
      </c>
      <c r="C938" s="137" t="s">
        <v>2192</v>
      </c>
      <c r="D938" s="166" t="s">
        <v>2134</v>
      </c>
      <c r="E938" s="166" t="s">
        <v>128</v>
      </c>
      <c r="F938" s="166" t="s">
        <v>128</v>
      </c>
      <c r="G938" s="167" t="s">
        <v>2195</v>
      </c>
    </row>
    <row r="939" spans="2:7" x14ac:dyDescent="0.25">
      <c r="B939" s="141" t="s">
        <v>1717</v>
      </c>
      <c r="C939" s="137" t="s">
        <v>2193</v>
      </c>
      <c r="D939" s="166" t="s">
        <v>2134</v>
      </c>
      <c r="E939" s="166" t="s">
        <v>128</v>
      </c>
      <c r="F939" s="166" t="s">
        <v>128</v>
      </c>
      <c r="G939" s="167" t="s">
        <v>2195</v>
      </c>
    </row>
    <row r="940" spans="2:7" x14ac:dyDescent="0.25">
      <c r="B940" s="141" t="s">
        <v>1717</v>
      </c>
      <c r="C940" s="137" t="s">
        <v>2194</v>
      </c>
      <c r="D940" s="166" t="s">
        <v>2134</v>
      </c>
      <c r="E940" s="166" t="s">
        <v>128</v>
      </c>
      <c r="F940" s="166" t="s">
        <v>128</v>
      </c>
      <c r="G940" s="167" t="s">
        <v>2195</v>
      </c>
    </row>
    <row r="941" spans="2:7" x14ac:dyDescent="0.25">
      <c r="B941" s="141" t="s">
        <v>1717</v>
      </c>
      <c r="C941" s="137" t="s">
        <v>2196</v>
      </c>
      <c r="D941" s="166" t="s">
        <v>2134</v>
      </c>
      <c r="E941" s="166" t="s">
        <v>128</v>
      </c>
      <c r="F941" s="166" t="s">
        <v>128</v>
      </c>
      <c r="G941" s="167" t="s">
        <v>2199</v>
      </c>
    </row>
    <row r="942" spans="2:7" x14ac:dyDescent="0.25">
      <c r="B942" s="141" t="s">
        <v>1717</v>
      </c>
      <c r="C942" s="137" t="s">
        <v>2197</v>
      </c>
      <c r="D942" s="166" t="s">
        <v>2134</v>
      </c>
      <c r="E942" s="166" t="s">
        <v>128</v>
      </c>
      <c r="F942" s="166" t="s">
        <v>128</v>
      </c>
      <c r="G942" s="167" t="s">
        <v>2199</v>
      </c>
    </row>
    <row r="943" spans="2:7" x14ac:dyDescent="0.25">
      <c r="B943" s="141" t="s">
        <v>1717</v>
      </c>
      <c r="C943" s="137" t="s">
        <v>2198</v>
      </c>
      <c r="D943" s="166" t="s">
        <v>2134</v>
      </c>
      <c r="E943" s="166" t="s">
        <v>128</v>
      </c>
      <c r="F943" s="166" t="s">
        <v>128</v>
      </c>
      <c r="G943" s="167" t="s">
        <v>2199</v>
      </c>
    </row>
    <row r="944" spans="2:7" x14ac:dyDescent="0.25">
      <c r="B944" s="141" t="s">
        <v>1717</v>
      </c>
      <c r="C944" s="137" t="s">
        <v>2200</v>
      </c>
      <c r="D944" s="166" t="s">
        <v>2134</v>
      </c>
      <c r="E944" s="166" t="s">
        <v>128</v>
      </c>
      <c r="F944" s="166" t="s">
        <v>128</v>
      </c>
      <c r="G944" s="167" t="s">
        <v>2206</v>
      </c>
    </row>
    <row r="945" spans="2:7" x14ac:dyDescent="0.25">
      <c r="B945" s="141" t="s">
        <v>1717</v>
      </c>
      <c r="C945" s="137" t="s">
        <v>2201</v>
      </c>
      <c r="D945" s="166" t="s">
        <v>2134</v>
      </c>
      <c r="E945" s="166" t="s">
        <v>128</v>
      </c>
      <c r="F945" s="166" t="s">
        <v>128</v>
      </c>
      <c r="G945" s="167" t="s">
        <v>2206</v>
      </c>
    </row>
    <row r="946" spans="2:7" x14ac:dyDescent="0.25">
      <c r="B946" s="141" t="s">
        <v>1717</v>
      </c>
      <c r="C946" s="137" t="s">
        <v>2202</v>
      </c>
      <c r="D946" s="166" t="s">
        <v>2134</v>
      </c>
      <c r="E946" s="166" t="s">
        <v>128</v>
      </c>
      <c r="F946" s="166" t="s">
        <v>128</v>
      </c>
      <c r="G946" s="167" t="s">
        <v>2206</v>
      </c>
    </row>
    <row r="947" spans="2:7" x14ac:dyDescent="0.25">
      <c r="B947" s="141" t="s">
        <v>1717</v>
      </c>
      <c r="C947" s="137" t="s">
        <v>2203</v>
      </c>
      <c r="D947" s="166" t="s">
        <v>2134</v>
      </c>
      <c r="E947" s="166" t="s">
        <v>128</v>
      </c>
      <c r="F947" s="166" t="s">
        <v>128</v>
      </c>
      <c r="G947" s="167" t="s">
        <v>2207</v>
      </c>
    </row>
    <row r="948" spans="2:7" x14ac:dyDescent="0.25">
      <c r="B948" s="141" t="s">
        <v>1717</v>
      </c>
      <c r="C948" s="137" t="s">
        <v>2204</v>
      </c>
      <c r="D948" s="166" t="s">
        <v>2134</v>
      </c>
      <c r="E948" s="166" t="s">
        <v>128</v>
      </c>
      <c r="F948" s="166" t="s">
        <v>128</v>
      </c>
      <c r="G948" s="167" t="s">
        <v>2207</v>
      </c>
    </row>
    <row r="949" spans="2:7" x14ac:dyDescent="0.25">
      <c r="B949" s="141" t="s">
        <v>1717</v>
      </c>
      <c r="C949" s="137" t="s">
        <v>2205</v>
      </c>
      <c r="D949" s="166" t="s">
        <v>2134</v>
      </c>
      <c r="E949" s="166" t="s">
        <v>128</v>
      </c>
      <c r="F949" s="166" t="s">
        <v>128</v>
      </c>
      <c r="G949" s="167" t="s">
        <v>2207</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1" t="s">
        <v>922</v>
      </c>
      <c r="D968" s="172" t="s">
        <v>2208</v>
      </c>
      <c r="E968" s="172" t="s">
        <v>128</v>
      </c>
      <c r="F968" s="172" t="s">
        <v>128</v>
      </c>
      <c r="G968" s="173"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1783</v>
      </c>
      <c r="F993" s="108" t="s">
        <v>128</v>
      </c>
      <c r="G993" s="109" t="s">
        <v>968</v>
      </c>
    </row>
    <row r="994" spans="2:7" ht="25.5" x14ac:dyDescent="0.25">
      <c r="B994" s="141" t="s">
        <v>1722</v>
      </c>
      <c r="C994" s="133" t="s">
        <v>969</v>
      </c>
      <c r="D994" s="110" t="s">
        <v>1648</v>
      </c>
      <c r="E994" s="110" t="s">
        <v>1783</v>
      </c>
      <c r="F994" s="110" t="s">
        <v>128</v>
      </c>
      <c r="G994" s="111" t="s">
        <v>970</v>
      </c>
    </row>
    <row r="995" spans="2:7" ht="25.5" x14ac:dyDescent="0.25">
      <c r="B995" s="141" t="s">
        <v>1722</v>
      </c>
      <c r="C995" s="133" t="s">
        <v>971</v>
      </c>
      <c r="D995" s="110" t="s">
        <v>1648</v>
      </c>
      <c r="E995" s="110" t="s">
        <v>1783</v>
      </c>
      <c r="F995" s="110" t="s">
        <v>128</v>
      </c>
      <c r="G995" s="111" t="s">
        <v>972</v>
      </c>
    </row>
    <row r="996" spans="2:7" ht="25.5" x14ac:dyDescent="0.25">
      <c r="B996" s="141" t="s">
        <v>1722</v>
      </c>
      <c r="C996" s="133" t="s">
        <v>973</v>
      </c>
      <c r="D996" s="110" t="s">
        <v>1648</v>
      </c>
      <c r="E996" s="110" t="s">
        <v>1783</v>
      </c>
      <c r="F996" s="110" t="s">
        <v>128</v>
      </c>
      <c r="G996" s="111" t="s">
        <v>972</v>
      </c>
    </row>
    <row r="997" spans="2:7" ht="25.5" x14ac:dyDescent="0.25">
      <c r="B997" s="143" t="s">
        <v>1722</v>
      </c>
      <c r="C997" s="135" t="s">
        <v>974</v>
      </c>
      <c r="D997" s="112" t="s">
        <v>1648</v>
      </c>
      <c r="E997" s="110" t="s">
        <v>1783</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2211</v>
      </c>
      <c r="D1008" s="166" t="s">
        <v>2210</v>
      </c>
      <c r="E1008" s="166" t="s">
        <v>128</v>
      </c>
      <c r="F1008" s="166" t="s">
        <v>128</v>
      </c>
      <c r="G1008" s="111" t="s">
        <v>980</v>
      </c>
    </row>
    <row r="1009" spans="2:7" x14ac:dyDescent="0.25">
      <c r="B1009" s="141" t="s">
        <v>1724</v>
      </c>
      <c r="C1009" s="137" t="s">
        <v>2212</v>
      </c>
      <c r="D1009" s="166" t="s">
        <v>2210</v>
      </c>
      <c r="E1009" s="166" t="s">
        <v>128</v>
      </c>
      <c r="F1009" s="166" t="s">
        <v>128</v>
      </c>
      <c r="G1009" s="111" t="s">
        <v>984</v>
      </c>
    </row>
    <row r="1010" spans="2:7" x14ac:dyDescent="0.25">
      <c r="B1010" s="141" t="s">
        <v>1724</v>
      </c>
      <c r="C1010" s="137" t="s">
        <v>2213</v>
      </c>
      <c r="D1010" s="166" t="s">
        <v>2210</v>
      </c>
      <c r="E1010" s="166" t="s">
        <v>128</v>
      </c>
      <c r="F1010" s="166" t="s">
        <v>128</v>
      </c>
      <c r="G1010" s="111" t="s">
        <v>987</v>
      </c>
    </row>
    <row r="1011" spans="2:7" x14ac:dyDescent="0.25">
      <c r="B1011" s="141" t="s">
        <v>1724</v>
      </c>
      <c r="C1011" s="137" t="s">
        <v>2214</v>
      </c>
      <c r="D1011" s="166" t="s">
        <v>2210</v>
      </c>
      <c r="E1011" s="166" t="s">
        <v>128</v>
      </c>
      <c r="F1011" s="166" t="s">
        <v>128</v>
      </c>
      <c r="G1011" s="111" t="s">
        <v>2217</v>
      </c>
    </row>
    <row r="1012" spans="2:7" x14ac:dyDescent="0.25">
      <c r="B1012" s="141" t="s">
        <v>1724</v>
      </c>
      <c r="C1012" s="137" t="s">
        <v>2216</v>
      </c>
      <c r="D1012" s="166" t="s">
        <v>2210</v>
      </c>
      <c r="E1012" s="166" t="s">
        <v>128</v>
      </c>
      <c r="F1012" s="166" t="s">
        <v>128</v>
      </c>
      <c r="G1012" s="111" t="s">
        <v>2218</v>
      </c>
    </row>
    <row r="1013" spans="2:7" x14ac:dyDescent="0.25">
      <c r="B1013" s="141" t="s">
        <v>1724</v>
      </c>
      <c r="C1013" s="137" t="s">
        <v>2215</v>
      </c>
      <c r="D1013" s="166" t="s">
        <v>2210</v>
      </c>
      <c r="E1013" s="166" t="s">
        <v>128</v>
      </c>
      <c r="F1013" s="166" t="s">
        <v>128</v>
      </c>
      <c r="G1013" s="167" t="s">
        <v>992</v>
      </c>
    </row>
    <row r="1014" spans="2:7" x14ac:dyDescent="0.25">
      <c r="B1014" s="141" t="s">
        <v>1724</v>
      </c>
      <c r="C1014" s="137" t="s">
        <v>2219</v>
      </c>
      <c r="D1014" s="166" t="s">
        <v>2225</v>
      </c>
      <c r="E1014" s="166" t="s">
        <v>128</v>
      </c>
      <c r="F1014" s="166" t="s">
        <v>128</v>
      </c>
      <c r="G1014" s="111" t="s">
        <v>192</v>
      </c>
    </row>
    <row r="1015" spans="2:7" x14ac:dyDescent="0.25">
      <c r="B1015" s="141" t="s">
        <v>1724</v>
      </c>
      <c r="C1015" s="137" t="s">
        <v>2220</v>
      </c>
      <c r="D1015" s="166" t="s">
        <v>2225</v>
      </c>
      <c r="E1015" s="166" t="s">
        <v>128</v>
      </c>
      <c r="F1015" s="166" t="s">
        <v>128</v>
      </c>
      <c r="G1015" s="111" t="s">
        <v>980</v>
      </c>
    </row>
    <row r="1016" spans="2:7" x14ac:dyDescent="0.25">
      <c r="B1016" s="141" t="s">
        <v>1724</v>
      </c>
      <c r="C1016" s="137" t="s">
        <v>2221</v>
      </c>
      <c r="D1016" s="166" t="s">
        <v>2225</v>
      </c>
      <c r="E1016" s="166" t="s">
        <v>128</v>
      </c>
      <c r="F1016" s="166" t="s">
        <v>128</v>
      </c>
      <c r="G1016" s="111" t="s">
        <v>1343</v>
      </c>
    </row>
    <row r="1017" spans="2:7" x14ac:dyDescent="0.25">
      <c r="B1017" s="141" t="s">
        <v>1724</v>
      </c>
      <c r="C1017" s="137" t="s">
        <v>2222</v>
      </c>
      <c r="D1017" s="166" t="s">
        <v>2225</v>
      </c>
      <c r="E1017" s="166" t="s">
        <v>128</v>
      </c>
      <c r="F1017" s="166" t="s">
        <v>128</v>
      </c>
      <c r="G1017" s="111" t="s">
        <v>984</v>
      </c>
    </row>
    <row r="1018" spans="2:7" x14ac:dyDescent="0.25">
      <c r="B1018" s="141" t="s">
        <v>1724</v>
      </c>
      <c r="C1018" s="137" t="s">
        <v>2223</v>
      </c>
      <c r="D1018" s="166" t="s">
        <v>2225</v>
      </c>
      <c r="E1018" s="166" t="s">
        <v>128</v>
      </c>
      <c r="F1018" s="166" t="s">
        <v>128</v>
      </c>
      <c r="G1018" s="111" t="s">
        <v>331</v>
      </c>
    </row>
    <row r="1019" spans="2:7" x14ac:dyDescent="0.25">
      <c r="B1019" s="141" t="s">
        <v>1724</v>
      </c>
      <c r="C1019" s="137" t="s">
        <v>2224</v>
      </c>
      <c r="D1019" s="166" t="s">
        <v>2225</v>
      </c>
      <c r="E1019" s="166" t="s">
        <v>128</v>
      </c>
      <c r="F1019" s="166" t="s">
        <v>128</v>
      </c>
      <c r="G1019" s="111" t="s">
        <v>987</v>
      </c>
    </row>
    <row r="1020" spans="2:7" x14ac:dyDescent="0.25">
      <c r="B1020" s="141" t="s">
        <v>1724</v>
      </c>
      <c r="C1020" s="137" t="s">
        <v>2226</v>
      </c>
      <c r="D1020" s="166" t="s">
        <v>2225</v>
      </c>
      <c r="E1020" s="166" t="s">
        <v>128</v>
      </c>
      <c r="F1020" s="166" t="s">
        <v>128</v>
      </c>
      <c r="G1020" s="111" t="s">
        <v>2217</v>
      </c>
    </row>
    <row r="1021" spans="2:7" x14ac:dyDescent="0.25">
      <c r="B1021" s="141" t="s">
        <v>1724</v>
      </c>
      <c r="C1021" s="137" t="s">
        <v>2227</v>
      </c>
      <c r="D1021" s="166" t="s">
        <v>2225</v>
      </c>
      <c r="E1021" s="166" t="s">
        <v>128</v>
      </c>
      <c r="F1021" s="166" t="s">
        <v>128</v>
      </c>
      <c r="G1021" s="111" t="s">
        <v>75</v>
      </c>
    </row>
    <row r="1022" spans="2:7" x14ac:dyDescent="0.25">
      <c r="B1022" s="141" t="s">
        <v>1724</v>
      </c>
      <c r="C1022" s="137" t="s">
        <v>2228</v>
      </c>
      <c r="D1022" s="166" t="s">
        <v>2225</v>
      </c>
      <c r="E1022" s="166" t="s">
        <v>128</v>
      </c>
      <c r="F1022" s="166" t="s">
        <v>128</v>
      </c>
      <c r="G1022" s="111" t="s">
        <v>2230</v>
      </c>
    </row>
    <row r="1023" spans="2:7" x14ac:dyDescent="0.25">
      <c r="B1023" s="141" t="s">
        <v>1724</v>
      </c>
      <c r="C1023" s="137" t="s">
        <v>2229</v>
      </c>
      <c r="D1023" s="166" t="s">
        <v>2225</v>
      </c>
      <c r="E1023" s="166" t="s">
        <v>128</v>
      </c>
      <c r="F1023" s="166" t="s">
        <v>128</v>
      </c>
      <c r="G1023" s="111" t="s">
        <v>992</v>
      </c>
    </row>
    <row r="1024" spans="2:7" x14ac:dyDescent="0.25">
      <c r="B1024" s="141" t="s">
        <v>1724</v>
      </c>
      <c r="C1024" s="137" t="s">
        <v>2231</v>
      </c>
      <c r="D1024" s="166" t="s">
        <v>2232</v>
      </c>
      <c r="E1024" s="166" t="s">
        <v>128</v>
      </c>
      <c r="F1024" s="166" t="s">
        <v>128</v>
      </c>
      <c r="G1024" s="111" t="s">
        <v>980</v>
      </c>
    </row>
    <row r="1025" spans="2:7" x14ac:dyDescent="0.25">
      <c r="B1025" s="141" t="s">
        <v>1724</v>
      </c>
      <c r="C1025" s="137" t="s">
        <v>2233</v>
      </c>
      <c r="D1025" s="166" t="s">
        <v>2232</v>
      </c>
      <c r="E1025" s="166" t="s">
        <v>128</v>
      </c>
      <c r="F1025" s="166" t="s">
        <v>128</v>
      </c>
      <c r="G1025" s="111" t="s">
        <v>984</v>
      </c>
    </row>
    <row r="1026" spans="2:7" x14ac:dyDescent="0.25">
      <c r="B1026" s="141" t="s">
        <v>1724</v>
      </c>
      <c r="C1026" s="137" t="s">
        <v>2234</v>
      </c>
      <c r="D1026" s="166" t="s">
        <v>2232</v>
      </c>
      <c r="E1026" s="166" t="s">
        <v>128</v>
      </c>
      <c r="F1026" s="166" t="s">
        <v>128</v>
      </c>
      <c r="G1026" s="111" t="s">
        <v>987</v>
      </c>
    </row>
    <row r="1027" spans="2:7" x14ac:dyDescent="0.25">
      <c r="B1027" s="141" t="s">
        <v>1724</v>
      </c>
      <c r="C1027" s="137" t="s">
        <v>2235</v>
      </c>
      <c r="D1027" s="166" t="s">
        <v>2232</v>
      </c>
      <c r="E1027" s="166" t="s">
        <v>128</v>
      </c>
      <c r="F1027" s="166" t="s">
        <v>128</v>
      </c>
      <c r="G1027" s="111" t="s">
        <v>2217</v>
      </c>
    </row>
    <row r="1028" spans="2:7" x14ac:dyDescent="0.25">
      <c r="B1028" s="141" t="s">
        <v>1724</v>
      </c>
      <c r="C1028" s="137" t="s">
        <v>2236</v>
      </c>
      <c r="D1028" s="166" t="s">
        <v>2232</v>
      </c>
      <c r="E1028" s="166" t="s">
        <v>128</v>
      </c>
      <c r="F1028" s="166" t="s">
        <v>128</v>
      </c>
      <c r="G1028" s="111" t="s">
        <v>2218</v>
      </c>
    </row>
    <row r="1029" spans="2:7" x14ac:dyDescent="0.25">
      <c r="B1029" s="141" t="s">
        <v>1724</v>
      </c>
      <c r="C1029" s="137" t="s">
        <v>2237</v>
      </c>
      <c r="D1029" s="166" t="s">
        <v>2232</v>
      </c>
      <c r="E1029" s="166" t="s">
        <v>128</v>
      </c>
      <c r="F1029" s="166" t="s">
        <v>128</v>
      </c>
      <c r="G1029" s="111" t="s">
        <v>992</v>
      </c>
    </row>
    <row r="1030" spans="2:7" x14ac:dyDescent="0.25">
      <c r="B1030" s="141" t="s">
        <v>1724</v>
      </c>
      <c r="C1030" s="137" t="s">
        <v>2238</v>
      </c>
      <c r="D1030" s="166" t="s">
        <v>2239</v>
      </c>
      <c r="E1030" s="166" t="s">
        <v>128</v>
      </c>
      <c r="F1030" s="166" t="s">
        <v>128</v>
      </c>
      <c r="G1030" s="167" t="s">
        <v>2240</v>
      </c>
    </row>
    <row r="1031" spans="2:7" x14ac:dyDescent="0.25">
      <c r="B1031" s="141" t="s">
        <v>1724</v>
      </c>
      <c r="C1031" s="137" t="s">
        <v>2241</v>
      </c>
      <c r="D1031" s="166" t="s">
        <v>2239</v>
      </c>
      <c r="E1031" s="166" t="s">
        <v>128</v>
      </c>
      <c r="F1031" s="166" t="s">
        <v>128</v>
      </c>
      <c r="G1031" s="167" t="s">
        <v>2247</v>
      </c>
    </row>
    <row r="1032" spans="2:7" x14ac:dyDescent="0.25">
      <c r="B1032" s="141" t="s">
        <v>1724</v>
      </c>
      <c r="C1032" s="137" t="s">
        <v>2242</v>
      </c>
      <c r="D1032" s="166" t="s">
        <v>2239</v>
      </c>
      <c r="E1032" s="166" t="s">
        <v>128</v>
      </c>
      <c r="F1032" s="166" t="s">
        <v>128</v>
      </c>
      <c r="G1032" s="167" t="s">
        <v>2217</v>
      </c>
    </row>
    <row r="1033" spans="2:7" x14ac:dyDescent="0.25">
      <c r="B1033" s="141" t="s">
        <v>1724</v>
      </c>
      <c r="C1033" s="137" t="s">
        <v>2243</v>
      </c>
      <c r="D1033" s="166" t="s">
        <v>2239</v>
      </c>
      <c r="E1033" s="166" t="s">
        <v>128</v>
      </c>
      <c r="F1033" s="166" t="s">
        <v>128</v>
      </c>
      <c r="G1033" s="167" t="s">
        <v>2218</v>
      </c>
    </row>
    <row r="1034" spans="2:7" x14ac:dyDescent="0.25">
      <c r="B1034" s="141" t="s">
        <v>1724</v>
      </c>
      <c r="C1034" s="137" t="s">
        <v>2244</v>
      </c>
      <c r="D1034" s="166" t="s">
        <v>2239</v>
      </c>
      <c r="E1034" s="166" t="s">
        <v>128</v>
      </c>
      <c r="F1034" s="166" t="s">
        <v>128</v>
      </c>
      <c r="G1034" s="167" t="s">
        <v>2230</v>
      </c>
    </row>
    <row r="1035" spans="2:7" x14ac:dyDescent="0.25">
      <c r="B1035" s="141" t="s">
        <v>1724</v>
      </c>
      <c r="C1035" s="137" t="s">
        <v>2245</v>
      </c>
      <c r="D1035" s="166" t="s">
        <v>2239</v>
      </c>
      <c r="E1035" s="166" t="s">
        <v>128</v>
      </c>
      <c r="F1035" s="166" t="s">
        <v>128</v>
      </c>
      <c r="G1035" s="167" t="s">
        <v>992</v>
      </c>
    </row>
    <row r="1036" spans="2:7" x14ac:dyDescent="0.25">
      <c r="B1036" s="141" t="s">
        <v>1724</v>
      </c>
      <c r="C1036" s="137" t="s">
        <v>2246</v>
      </c>
      <c r="D1036" s="166" t="s">
        <v>2239</v>
      </c>
      <c r="E1036" s="166" t="s">
        <v>128</v>
      </c>
      <c r="F1036" s="166" t="s">
        <v>128</v>
      </c>
      <c r="G1036" s="167" t="s">
        <v>2248</v>
      </c>
    </row>
    <row r="1037" spans="2:7" x14ac:dyDescent="0.25">
      <c r="B1037" s="141" t="s">
        <v>1724</v>
      </c>
      <c r="C1037" s="137" t="s">
        <v>2249</v>
      </c>
      <c r="D1037" s="166" t="s">
        <v>2239</v>
      </c>
      <c r="E1037" s="166" t="s">
        <v>128</v>
      </c>
      <c r="F1037" s="166" t="s">
        <v>128</v>
      </c>
      <c r="G1037" s="167" t="s">
        <v>79</v>
      </c>
    </row>
    <row r="1038" spans="2:7" x14ac:dyDescent="0.25">
      <c r="B1038" s="141" t="s">
        <v>1724</v>
      </c>
      <c r="C1038" s="137" t="s">
        <v>2250</v>
      </c>
      <c r="D1038" s="166" t="s">
        <v>2239</v>
      </c>
      <c r="E1038" s="166" t="s">
        <v>128</v>
      </c>
      <c r="F1038" s="166" t="s">
        <v>128</v>
      </c>
      <c r="G1038" s="167" t="s">
        <v>2251</v>
      </c>
    </row>
    <row r="1039" spans="2:7" x14ac:dyDescent="0.25">
      <c r="B1039" s="141" t="s">
        <v>1724</v>
      </c>
      <c r="C1039" s="137" t="s">
        <v>2252</v>
      </c>
      <c r="D1039" s="166" t="s">
        <v>2232</v>
      </c>
      <c r="E1039" s="166" t="s">
        <v>128</v>
      </c>
      <c r="F1039" s="166" t="s">
        <v>128</v>
      </c>
      <c r="G1039" s="111" t="s">
        <v>2248</v>
      </c>
    </row>
    <row r="1040" spans="2:7" x14ac:dyDescent="0.25">
      <c r="B1040" s="141" t="s">
        <v>1724</v>
      </c>
      <c r="C1040" s="137" t="s">
        <v>2253</v>
      </c>
      <c r="D1040" s="166" t="s">
        <v>2232</v>
      </c>
      <c r="E1040" s="166" t="s">
        <v>128</v>
      </c>
      <c r="F1040" s="166" t="s">
        <v>128</v>
      </c>
      <c r="G1040" s="111" t="s">
        <v>79</v>
      </c>
    </row>
    <row r="1041" spans="2:7" x14ac:dyDescent="0.25">
      <c r="B1041" s="141" t="s">
        <v>1724</v>
      </c>
      <c r="C1041" s="137" t="s">
        <v>2254</v>
      </c>
      <c r="D1041" s="166" t="s">
        <v>2232</v>
      </c>
      <c r="E1041" s="166" t="s">
        <v>128</v>
      </c>
      <c r="F1041" s="166" t="s">
        <v>128</v>
      </c>
      <c r="G1041" s="111" t="s">
        <v>2251</v>
      </c>
    </row>
    <row r="1042" spans="2:7" x14ac:dyDescent="0.25">
      <c r="B1042" s="141" t="s">
        <v>1724</v>
      </c>
      <c r="C1042" s="137" t="s">
        <v>2255</v>
      </c>
      <c r="D1042" s="166" t="s">
        <v>2210</v>
      </c>
      <c r="E1042" s="166" t="s">
        <v>128</v>
      </c>
      <c r="F1042" s="166" t="s">
        <v>128</v>
      </c>
      <c r="G1042" s="167" t="s">
        <v>2256</v>
      </c>
    </row>
    <row r="1043" spans="2:7" x14ac:dyDescent="0.25">
      <c r="B1043" s="141" t="s">
        <v>1724</v>
      </c>
      <c r="C1043" s="137" t="s">
        <v>2209</v>
      </c>
      <c r="D1043" s="166" t="s">
        <v>2259</v>
      </c>
      <c r="E1043" s="166" t="s">
        <v>128</v>
      </c>
      <c r="F1043" s="166" t="s">
        <v>128</v>
      </c>
      <c r="G1043" s="167" t="s">
        <v>977</v>
      </c>
    </row>
    <row r="1044" spans="2:7" x14ac:dyDescent="0.25">
      <c r="B1044" s="141" t="s">
        <v>1724</v>
      </c>
      <c r="C1044" s="137" t="s">
        <v>2257</v>
      </c>
      <c r="D1044" s="166" t="s">
        <v>2259</v>
      </c>
      <c r="E1044" s="166" t="s">
        <v>128</v>
      </c>
      <c r="F1044" s="166" t="s">
        <v>128</v>
      </c>
      <c r="G1044" s="167" t="s">
        <v>2256</v>
      </c>
    </row>
    <row r="1045" spans="2:7" x14ac:dyDescent="0.25">
      <c r="B1045" s="141" t="s">
        <v>1724</v>
      </c>
      <c r="C1045" s="137" t="s">
        <v>2258</v>
      </c>
      <c r="D1045" s="166" t="s">
        <v>2259</v>
      </c>
      <c r="E1045" s="166" t="s">
        <v>128</v>
      </c>
      <c r="F1045" s="166" t="s">
        <v>128</v>
      </c>
      <c r="G1045" s="167" t="s">
        <v>2260</v>
      </c>
    </row>
    <row r="1046" spans="2:7" x14ac:dyDescent="0.25">
      <c r="B1046" s="141" t="s">
        <v>1724</v>
      </c>
      <c r="C1046" s="137" t="s">
        <v>2261</v>
      </c>
      <c r="D1046" s="166" t="s">
        <v>2225</v>
      </c>
      <c r="E1046" s="166" t="s">
        <v>128</v>
      </c>
      <c r="F1046" s="166" t="s">
        <v>128</v>
      </c>
      <c r="G1046" s="167" t="s">
        <v>977</v>
      </c>
    </row>
    <row r="1047" spans="2:7" x14ac:dyDescent="0.25">
      <c r="B1047" s="141" t="s">
        <v>1724</v>
      </c>
      <c r="C1047" s="137" t="s">
        <v>2262</v>
      </c>
      <c r="D1047" s="166" t="s">
        <v>2225</v>
      </c>
      <c r="E1047" s="166" t="s">
        <v>128</v>
      </c>
      <c r="F1047" s="166" t="s">
        <v>128</v>
      </c>
      <c r="G1047" s="167" t="s">
        <v>2256</v>
      </c>
    </row>
    <row r="1048" spans="2:7" x14ac:dyDescent="0.25">
      <c r="B1048" s="141" t="s">
        <v>1724</v>
      </c>
      <c r="C1048" s="137" t="s">
        <v>2263</v>
      </c>
      <c r="D1048" s="166" t="s">
        <v>2225</v>
      </c>
      <c r="E1048" s="166" t="s">
        <v>128</v>
      </c>
      <c r="F1048" s="166" t="s">
        <v>128</v>
      </c>
      <c r="G1048" s="167" t="s">
        <v>2260</v>
      </c>
    </row>
    <row r="1049" spans="2:7" x14ac:dyDescent="0.25">
      <c r="B1049" s="141" t="s">
        <v>1724</v>
      </c>
      <c r="C1049" s="137" t="s">
        <v>2264</v>
      </c>
      <c r="D1049" s="166" t="s">
        <v>2232</v>
      </c>
      <c r="E1049" s="166" t="s">
        <v>128</v>
      </c>
      <c r="F1049" s="166" t="s">
        <v>128</v>
      </c>
      <c r="G1049" s="167" t="s">
        <v>2256</v>
      </c>
    </row>
    <row r="1050" spans="2:7" x14ac:dyDescent="0.25">
      <c r="B1050" s="141" t="s">
        <v>1724</v>
      </c>
      <c r="C1050" s="137" t="s">
        <v>2265</v>
      </c>
      <c r="D1050" s="166" t="s">
        <v>2232</v>
      </c>
      <c r="E1050" s="166" t="s">
        <v>128</v>
      </c>
      <c r="F1050" s="166" t="s">
        <v>128</v>
      </c>
      <c r="G1050" s="167" t="s">
        <v>2260</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5" t="s">
        <v>2505</v>
      </c>
      <c r="C1097" s="136" t="s">
        <v>2506</v>
      </c>
      <c r="D1097" s="115" t="s">
        <v>994</v>
      </c>
      <c r="E1097" s="115" t="s">
        <v>128</v>
      </c>
      <c r="F1097" s="115" t="s">
        <v>128</v>
      </c>
      <c r="G1097" s="116" t="s">
        <v>2507</v>
      </c>
    </row>
    <row r="1098" spans="2:7" x14ac:dyDescent="0.25">
      <c r="B1098" s="141" t="s">
        <v>1729</v>
      </c>
      <c r="C1098" s="137" t="s">
        <v>2266</v>
      </c>
      <c r="D1098" s="166" t="s">
        <v>638</v>
      </c>
      <c r="E1098" s="166" t="s">
        <v>128</v>
      </c>
      <c r="F1098" s="166" t="s">
        <v>128</v>
      </c>
      <c r="G1098" s="167" t="s">
        <v>2267</v>
      </c>
    </row>
    <row r="1099" spans="2:7" x14ac:dyDescent="0.25">
      <c r="B1099" s="141" t="s">
        <v>1729</v>
      </c>
      <c r="C1099" s="137" t="s">
        <v>2268</v>
      </c>
      <c r="D1099" s="166" t="s">
        <v>638</v>
      </c>
      <c r="E1099" s="166" t="s">
        <v>128</v>
      </c>
      <c r="F1099" s="166" t="s">
        <v>128</v>
      </c>
      <c r="G1099" s="167" t="s">
        <v>949</v>
      </c>
    </row>
    <row r="1100" spans="2:7" x14ac:dyDescent="0.25">
      <c r="B1100" s="141" t="s">
        <v>1729</v>
      </c>
      <c r="C1100" s="137" t="s">
        <v>2269</v>
      </c>
      <c r="D1100" s="166" t="s">
        <v>638</v>
      </c>
      <c r="E1100" s="166" t="s">
        <v>128</v>
      </c>
      <c r="F1100" s="166" t="s">
        <v>128</v>
      </c>
      <c r="G1100" s="167" t="s">
        <v>925</v>
      </c>
    </row>
    <row r="1101" spans="2:7" x14ac:dyDescent="0.25">
      <c r="B1101" s="141" t="s">
        <v>1729</v>
      </c>
      <c r="C1101" s="137" t="s">
        <v>2270</v>
      </c>
      <c r="D1101" s="166" t="s">
        <v>638</v>
      </c>
      <c r="E1101" s="166" t="s">
        <v>128</v>
      </c>
      <c r="F1101" s="166" t="s">
        <v>128</v>
      </c>
      <c r="G1101" s="167" t="s">
        <v>2267</v>
      </c>
    </row>
    <row r="1102" spans="2:7" x14ac:dyDescent="0.25">
      <c r="B1102" s="141" t="s">
        <v>1729</v>
      </c>
      <c r="C1102" s="137" t="s">
        <v>2271</v>
      </c>
      <c r="D1102" s="166" t="s">
        <v>638</v>
      </c>
      <c r="E1102" s="166" t="s">
        <v>128</v>
      </c>
      <c r="F1102" s="166" t="s">
        <v>128</v>
      </c>
      <c r="G1102" s="167" t="s">
        <v>949</v>
      </c>
    </row>
    <row r="1103" spans="2:7" x14ac:dyDescent="0.25">
      <c r="B1103" s="141" t="s">
        <v>1729</v>
      </c>
      <c r="C1103" s="137" t="s">
        <v>2272</v>
      </c>
      <c r="D1103" s="166" t="s">
        <v>638</v>
      </c>
      <c r="E1103" s="166" t="s">
        <v>128</v>
      </c>
      <c r="F1103" s="166" t="s">
        <v>128</v>
      </c>
      <c r="G1103" s="167" t="s">
        <v>925</v>
      </c>
    </row>
    <row r="1104" spans="2:7" x14ac:dyDescent="0.25">
      <c r="B1104" s="141" t="s">
        <v>1729</v>
      </c>
      <c r="C1104" s="137" t="s">
        <v>2275</v>
      </c>
      <c r="D1104" s="166" t="s">
        <v>638</v>
      </c>
      <c r="E1104" s="166" t="s">
        <v>128</v>
      </c>
      <c r="F1104" s="166" t="s">
        <v>128</v>
      </c>
      <c r="G1104" s="167" t="s">
        <v>2273</v>
      </c>
    </row>
    <row r="1105" spans="2:7" x14ac:dyDescent="0.25">
      <c r="B1105" s="141" t="s">
        <v>1729</v>
      </c>
      <c r="C1105" s="137" t="s">
        <v>2276</v>
      </c>
      <c r="D1105" s="166" t="s">
        <v>638</v>
      </c>
      <c r="E1105" s="166" t="s">
        <v>128</v>
      </c>
      <c r="F1105" s="166" t="s">
        <v>128</v>
      </c>
      <c r="G1105" s="167" t="s">
        <v>925</v>
      </c>
    </row>
    <row r="1106" spans="2:7" x14ac:dyDescent="0.25">
      <c r="B1106" s="141" t="s">
        <v>1729</v>
      </c>
      <c r="C1106" s="137" t="s">
        <v>2277</v>
      </c>
      <c r="D1106" s="166" t="s">
        <v>638</v>
      </c>
      <c r="E1106" s="166" t="s">
        <v>128</v>
      </c>
      <c r="F1106" s="166" t="s">
        <v>128</v>
      </c>
      <c r="G1106" s="167" t="s">
        <v>2274</v>
      </c>
    </row>
    <row r="1107" spans="2:7" x14ac:dyDescent="0.25">
      <c r="B1107" s="141" t="s">
        <v>1729</v>
      </c>
      <c r="C1107" s="137" t="s">
        <v>2278</v>
      </c>
      <c r="D1107" s="166" t="s">
        <v>638</v>
      </c>
      <c r="E1107" s="166" t="s">
        <v>128</v>
      </c>
      <c r="F1107" s="166" t="s">
        <v>128</v>
      </c>
      <c r="G1107" s="167" t="s">
        <v>2274</v>
      </c>
    </row>
    <row r="1108" spans="2:7" x14ac:dyDescent="0.25">
      <c r="B1108" s="141" t="s">
        <v>1729</v>
      </c>
      <c r="C1108" s="137" t="s">
        <v>2279</v>
      </c>
      <c r="D1108" s="166" t="s">
        <v>638</v>
      </c>
      <c r="E1108" s="166" t="s">
        <v>128</v>
      </c>
      <c r="F1108" s="166" t="s">
        <v>128</v>
      </c>
      <c r="G1108" s="167" t="s">
        <v>942</v>
      </c>
    </row>
    <row r="1109" spans="2:7" x14ac:dyDescent="0.25">
      <c r="B1109" s="141" t="s">
        <v>1729</v>
      </c>
      <c r="C1109" s="137" t="s">
        <v>2280</v>
      </c>
      <c r="D1109" s="166" t="s">
        <v>638</v>
      </c>
      <c r="E1109" s="166" t="s">
        <v>128</v>
      </c>
      <c r="F1109" s="166" t="s">
        <v>128</v>
      </c>
      <c r="G1109" s="167" t="s">
        <v>2283</v>
      </c>
    </row>
    <row r="1110" spans="2:7" x14ac:dyDescent="0.25">
      <c r="B1110" s="141" t="s">
        <v>1729</v>
      </c>
      <c r="C1110" s="137" t="s">
        <v>2281</v>
      </c>
      <c r="D1110" s="166" t="s">
        <v>638</v>
      </c>
      <c r="E1110" s="166" t="s">
        <v>128</v>
      </c>
      <c r="F1110" s="166" t="s">
        <v>128</v>
      </c>
      <c r="G1110" s="167" t="s">
        <v>929</v>
      </c>
    </row>
    <row r="1111" spans="2:7" x14ac:dyDescent="0.25">
      <c r="B1111" s="141" t="s">
        <v>1729</v>
      </c>
      <c r="C1111" s="137" t="s">
        <v>2282</v>
      </c>
      <c r="D1111" s="166" t="s">
        <v>638</v>
      </c>
      <c r="E1111" s="166" t="s">
        <v>128</v>
      </c>
      <c r="F1111" s="166" t="s">
        <v>128</v>
      </c>
      <c r="G1111" s="167" t="s">
        <v>2284</v>
      </c>
    </row>
    <row r="1112" spans="2:7" x14ac:dyDescent="0.25">
      <c r="B1112" s="141" t="s">
        <v>1729</v>
      </c>
      <c r="C1112" s="137" t="s">
        <v>2285</v>
      </c>
      <c r="D1112" s="166" t="s">
        <v>638</v>
      </c>
      <c r="E1112" s="166" t="s">
        <v>128</v>
      </c>
      <c r="F1112" s="166" t="s">
        <v>128</v>
      </c>
      <c r="G1112" s="167" t="s">
        <v>2284</v>
      </c>
    </row>
    <row r="1113" spans="2:7" x14ac:dyDescent="0.25">
      <c r="B1113" s="141" t="s">
        <v>1729</v>
      </c>
      <c r="C1113" s="137" t="s">
        <v>2286</v>
      </c>
      <c r="D1113" s="166" t="s">
        <v>638</v>
      </c>
      <c r="E1113" s="166" t="s">
        <v>128</v>
      </c>
      <c r="F1113" s="166" t="s">
        <v>128</v>
      </c>
      <c r="G1113" s="167" t="s">
        <v>2288</v>
      </c>
    </row>
    <row r="1114" spans="2:7" x14ac:dyDescent="0.25">
      <c r="B1114" s="143" t="s">
        <v>1729</v>
      </c>
      <c r="C1114" s="168" t="s">
        <v>2287</v>
      </c>
      <c r="D1114" s="169" t="s">
        <v>638</v>
      </c>
      <c r="E1114" s="169" t="s">
        <v>128</v>
      </c>
      <c r="F1114" s="169" t="s">
        <v>128</v>
      </c>
      <c r="G1114" s="170" t="s">
        <v>2289</v>
      </c>
    </row>
    <row r="1115" spans="2:7" x14ac:dyDescent="0.25">
      <c r="B1115" s="141" t="s">
        <v>1730</v>
      </c>
      <c r="C1115" s="137" t="s">
        <v>2290</v>
      </c>
      <c r="D1115" s="166" t="s">
        <v>1377</v>
      </c>
      <c r="E1115" s="166" t="s">
        <v>128</v>
      </c>
      <c r="F1115" s="166" t="s">
        <v>128</v>
      </c>
      <c r="G1115" s="111" t="s">
        <v>2291</v>
      </c>
    </row>
    <row r="1116" spans="2:7" x14ac:dyDescent="0.25">
      <c r="B1116" s="141" t="s">
        <v>1730</v>
      </c>
      <c r="C1116" s="137" t="s">
        <v>2292</v>
      </c>
      <c r="D1116" s="166" t="s">
        <v>1377</v>
      </c>
      <c r="E1116" s="166" t="s">
        <v>128</v>
      </c>
      <c r="F1116" s="166" t="s">
        <v>128</v>
      </c>
      <c r="G1116" s="111" t="s">
        <v>2293</v>
      </c>
    </row>
    <row r="1117" spans="2:7" x14ac:dyDescent="0.25">
      <c r="B1117" s="141" t="s">
        <v>1730</v>
      </c>
      <c r="C1117" s="137" t="s">
        <v>2294</v>
      </c>
      <c r="D1117" s="166" t="s">
        <v>1377</v>
      </c>
      <c r="E1117" s="166" t="s">
        <v>128</v>
      </c>
      <c r="F1117" s="166" t="s">
        <v>128</v>
      </c>
      <c r="G1117" s="111" t="s">
        <v>2299</v>
      </c>
    </row>
    <row r="1118" spans="2:7" x14ac:dyDescent="0.25">
      <c r="B1118" s="141" t="s">
        <v>1730</v>
      </c>
      <c r="C1118" s="137" t="s">
        <v>2295</v>
      </c>
      <c r="D1118" s="166" t="s">
        <v>1377</v>
      </c>
      <c r="E1118" s="166" t="s">
        <v>128</v>
      </c>
      <c r="F1118" s="166" t="s">
        <v>128</v>
      </c>
      <c r="G1118" s="111" t="s">
        <v>2300</v>
      </c>
    </row>
    <row r="1119" spans="2:7" x14ac:dyDescent="0.25">
      <c r="B1119" s="141" t="s">
        <v>1730</v>
      </c>
      <c r="C1119" s="137" t="s">
        <v>2296</v>
      </c>
      <c r="D1119" s="166" t="s">
        <v>1377</v>
      </c>
      <c r="E1119" s="166" t="s">
        <v>128</v>
      </c>
      <c r="F1119" s="166" t="s">
        <v>128</v>
      </c>
      <c r="G1119" s="111" t="s">
        <v>2301</v>
      </c>
    </row>
    <row r="1120" spans="2:7" x14ac:dyDescent="0.25">
      <c r="B1120" s="141" t="s">
        <v>1730</v>
      </c>
      <c r="C1120" s="137" t="s">
        <v>2297</v>
      </c>
      <c r="D1120" s="166" t="s">
        <v>1377</v>
      </c>
      <c r="E1120" s="166" t="s">
        <v>128</v>
      </c>
      <c r="F1120" s="166" t="s">
        <v>128</v>
      </c>
      <c r="G1120" s="111" t="s">
        <v>2302</v>
      </c>
    </row>
    <row r="1121" spans="2:7" x14ac:dyDescent="0.25">
      <c r="B1121" s="141" t="s">
        <v>1730</v>
      </c>
      <c r="C1121" s="137" t="s">
        <v>2298</v>
      </c>
      <c r="D1121" s="166" t="s">
        <v>1377</v>
      </c>
      <c r="E1121" s="166" t="s">
        <v>128</v>
      </c>
      <c r="F1121" s="166" t="s">
        <v>128</v>
      </c>
      <c r="G1121" s="111" t="s">
        <v>2303</v>
      </c>
    </row>
    <row r="1122" spans="2:7" x14ac:dyDescent="0.25">
      <c r="B1122" s="141" t="s">
        <v>1730</v>
      </c>
      <c r="C1122" s="137" t="s">
        <v>2304</v>
      </c>
      <c r="D1122" s="166" t="s">
        <v>1377</v>
      </c>
      <c r="E1122" s="166" t="s">
        <v>128</v>
      </c>
      <c r="F1122" s="166" t="s">
        <v>128</v>
      </c>
      <c r="G1122" s="111" t="s">
        <v>2312</v>
      </c>
    </row>
    <row r="1123" spans="2:7" x14ac:dyDescent="0.25">
      <c r="B1123" s="141" t="s">
        <v>1730</v>
      </c>
      <c r="C1123" s="137" t="s">
        <v>2305</v>
      </c>
      <c r="D1123" s="166" t="s">
        <v>1377</v>
      </c>
      <c r="E1123" s="166" t="s">
        <v>128</v>
      </c>
      <c r="F1123" s="166" t="s">
        <v>128</v>
      </c>
      <c r="G1123" s="111" t="s">
        <v>2313</v>
      </c>
    </row>
    <row r="1124" spans="2:7" x14ac:dyDescent="0.25">
      <c r="B1124" s="141" t="s">
        <v>1730</v>
      </c>
      <c r="C1124" s="137" t="s">
        <v>2306</v>
      </c>
      <c r="D1124" s="166" t="s">
        <v>1377</v>
      </c>
      <c r="E1124" s="166" t="s">
        <v>128</v>
      </c>
      <c r="F1124" s="166" t="s">
        <v>128</v>
      </c>
      <c r="G1124" s="111" t="s">
        <v>192</v>
      </c>
    </row>
    <row r="1125" spans="2:7" x14ac:dyDescent="0.25">
      <c r="B1125" s="141" t="s">
        <v>1730</v>
      </c>
      <c r="C1125" s="137" t="s">
        <v>2307</v>
      </c>
      <c r="D1125" s="166" t="s">
        <v>1377</v>
      </c>
      <c r="E1125" s="166" t="s">
        <v>128</v>
      </c>
      <c r="F1125" s="166" t="s">
        <v>128</v>
      </c>
      <c r="G1125" s="111" t="s">
        <v>224</v>
      </c>
    </row>
    <row r="1126" spans="2:7" x14ac:dyDescent="0.25">
      <c r="B1126" s="141" t="s">
        <v>1730</v>
      </c>
      <c r="C1126" s="137" t="s">
        <v>2308</v>
      </c>
      <c r="D1126" s="166" t="s">
        <v>1377</v>
      </c>
      <c r="E1126" s="166" t="s">
        <v>128</v>
      </c>
      <c r="F1126" s="166" t="s">
        <v>128</v>
      </c>
      <c r="G1126" s="111" t="s">
        <v>194</v>
      </c>
    </row>
    <row r="1127" spans="2:7" x14ac:dyDescent="0.25">
      <c r="B1127" s="141" t="s">
        <v>1730</v>
      </c>
      <c r="C1127" s="137" t="s">
        <v>2309</v>
      </c>
      <c r="D1127" s="166" t="s">
        <v>1377</v>
      </c>
      <c r="E1127" s="166" t="s">
        <v>128</v>
      </c>
      <c r="F1127" s="166" t="s">
        <v>128</v>
      </c>
      <c r="G1127" s="111" t="s">
        <v>232</v>
      </c>
    </row>
    <row r="1128" spans="2:7" x14ac:dyDescent="0.25">
      <c r="B1128" s="141" t="s">
        <v>1730</v>
      </c>
      <c r="C1128" s="137" t="s">
        <v>2310</v>
      </c>
      <c r="D1128" s="166" t="s">
        <v>1377</v>
      </c>
      <c r="E1128" s="166" t="s">
        <v>128</v>
      </c>
      <c r="F1128" s="166" t="s">
        <v>128</v>
      </c>
      <c r="G1128" s="111" t="s">
        <v>1323</v>
      </c>
    </row>
    <row r="1129" spans="2:7" x14ac:dyDescent="0.25">
      <c r="B1129" s="141" t="s">
        <v>1730</v>
      </c>
      <c r="C1129" s="137" t="s">
        <v>2311</v>
      </c>
      <c r="D1129" s="166" t="s">
        <v>1377</v>
      </c>
      <c r="E1129" s="166" t="s">
        <v>128</v>
      </c>
      <c r="F1129" s="166" t="s">
        <v>128</v>
      </c>
      <c r="G1129" s="111" t="s">
        <v>1343</v>
      </c>
    </row>
    <row r="1130" spans="2:7" x14ac:dyDescent="0.25">
      <c r="B1130" s="141" t="s">
        <v>1730</v>
      </c>
      <c r="C1130" s="137" t="s">
        <v>2314</v>
      </c>
      <c r="D1130" s="166" t="s">
        <v>1377</v>
      </c>
      <c r="E1130" s="166" t="s">
        <v>128</v>
      </c>
      <c r="F1130" s="166" t="s">
        <v>128</v>
      </c>
      <c r="G1130" s="111" t="s">
        <v>328</v>
      </c>
    </row>
    <row r="1131" spans="2:7" x14ac:dyDescent="0.25">
      <c r="B1131" s="141" t="s">
        <v>1730</v>
      </c>
      <c r="C1131" s="137" t="s">
        <v>2315</v>
      </c>
      <c r="D1131" s="166" t="s">
        <v>1377</v>
      </c>
      <c r="E1131" s="166" t="s">
        <v>128</v>
      </c>
      <c r="F1131" s="166" t="s">
        <v>128</v>
      </c>
      <c r="G1131" s="111" t="s">
        <v>1326</v>
      </c>
    </row>
    <row r="1132" spans="2:7" x14ac:dyDescent="0.25">
      <c r="B1132" s="141" t="s">
        <v>1730</v>
      </c>
      <c r="C1132" s="137" t="s">
        <v>2316</v>
      </c>
      <c r="D1132" s="166" t="s">
        <v>1377</v>
      </c>
      <c r="E1132" s="166" t="s">
        <v>128</v>
      </c>
      <c r="F1132" s="166" t="s">
        <v>128</v>
      </c>
      <c r="G1132" s="111" t="s">
        <v>2321</v>
      </c>
    </row>
    <row r="1133" spans="2:7" x14ac:dyDescent="0.25">
      <c r="B1133" s="141" t="s">
        <v>1730</v>
      </c>
      <c r="C1133" s="137" t="s">
        <v>2317</v>
      </c>
      <c r="D1133" s="166" t="s">
        <v>1377</v>
      </c>
      <c r="E1133" s="166" t="s">
        <v>128</v>
      </c>
      <c r="F1133" s="166" t="s">
        <v>128</v>
      </c>
      <c r="G1133" s="111" t="s">
        <v>2322</v>
      </c>
    </row>
    <row r="1134" spans="2:7" x14ac:dyDescent="0.25">
      <c r="B1134" s="141" t="s">
        <v>1730</v>
      </c>
      <c r="C1134" s="137" t="s">
        <v>2318</v>
      </c>
      <c r="D1134" s="166" t="s">
        <v>1377</v>
      </c>
      <c r="E1134" s="166" t="s">
        <v>128</v>
      </c>
      <c r="F1134" s="166" t="s">
        <v>128</v>
      </c>
      <c r="G1134" s="111" t="s">
        <v>2323</v>
      </c>
    </row>
    <row r="1135" spans="2:7" x14ac:dyDescent="0.25">
      <c r="B1135" s="141" t="s">
        <v>1730</v>
      </c>
      <c r="C1135" s="137" t="s">
        <v>2319</v>
      </c>
      <c r="D1135" s="166" t="s">
        <v>1377</v>
      </c>
      <c r="E1135" s="166" t="s">
        <v>128</v>
      </c>
      <c r="F1135" s="166" t="s">
        <v>128</v>
      </c>
      <c r="G1135" s="111" t="s">
        <v>2324</v>
      </c>
    </row>
    <row r="1136" spans="2:7" x14ac:dyDescent="0.25">
      <c r="B1136" s="143" t="s">
        <v>1730</v>
      </c>
      <c r="C1136" s="168" t="s">
        <v>2320</v>
      </c>
      <c r="D1136" s="169" t="s">
        <v>1377</v>
      </c>
      <c r="E1136" s="169" t="s">
        <v>128</v>
      </c>
      <c r="F1136" s="169" t="s">
        <v>128</v>
      </c>
      <c r="G1136" s="113" t="s">
        <v>2325</v>
      </c>
    </row>
    <row r="1137" spans="2:7" x14ac:dyDescent="0.25">
      <c r="B1137" s="141" t="s">
        <v>1731</v>
      </c>
      <c r="C1137" s="137" t="s">
        <v>2327</v>
      </c>
      <c r="D1137" s="166" t="s">
        <v>2326</v>
      </c>
      <c r="E1137" s="166" t="s">
        <v>128</v>
      </c>
      <c r="F1137" s="166" t="s">
        <v>128</v>
      </c>
      <c r="G1137" s="167" t="s">
        <v>149</v>
      </c>
    </row>
    <row r="1138" spans="2:7" x14ac:dyDescent="0.25">
      <c r="B1138" s="141" t="s">
        <v>1731</v>
      </c>
      <c r="C1138" s="137" t="s">
        <v>2328</v>
      </c>
      <c r="D1138" s="166" t="s">
        <v>2326</v>
      </c>
      <c r="E1138" s="166" t="s">
        <v>128</v>
      </c>
      <c r="F1138" s="166" t="s">
        <v>128</v>
      </c>
      <c r="G1138" s="167" t="s">
        <v>149</v>
      </c>
    </row>
    <row r="1139" spans="2:7" x14ac:dyDescent="0.25">
      <c r="B1139" s="141" t="s">
        <v>1731</v>
      </c>
      <c r="C1139" s="137" t="s">
        <v>2329</v>
      </c>
      <c r="D1139" s="166" t="s">
        <v>2326</v>
      </c>
      <c r="E1139" s="166" t="s">
        <v>128</v>
      </c>
      <c r="F1139" s="166" t="s">
        <v>128</v>
      </c>
      <c r="G1139" s="111" t="s">
        <v>192</v>
      </c>
    </row>
    <row r="1140" spans="2:7" x14ac:dyDescent="0.25">
      <c r="B1140" s="141" t="s">
        <v>1731</v>
      </c>
      <c r="C1140" s="137" t="s">
        <v>2330</v>
      </c>
      <c r="D1140" s="166" t="s">
        <v>2326</v>
      </c>
      <c r="E1140" s="166" t="s">
        <v>128</v>
      </c>
      <c r="F1140" s="166" t="s">
        <v>128</v>
      </c>
      <c r="G1140" s="111" t="s">
        <v>192</v>
      </c>
    </row>
    <row r="1141" spans="2:7" x14ac:dyDescent="0.25">
      <c r="B1141" s="141" t="s">
        <v>1731</v>
      </c>
      <c r="C1141" s="137" t="s">
        <v>2331</v>
      </c>
      <c r="D1141" s="166" t="s">
        <v>2326</v>
      </c>
      <c r="E1141" s="166" t="s">
        <v>128</v>
      </c>
      <c r="F1141" s="166" t="s">
        <v>128</v>
      </c>
      <c r="G1141" s="111" t="s">
        <v>224</v>
      </c>
    </row>
    <row r="1142" spans="2:7" x14ac:dyDescent="0.25">
      <c r="B1142" s="141" t="s">
        <v>1731</v>
      </c>
      <c r="C1142" s="137" t="s">
        <v>2332</v>
      </c>
      <c r="D1142" s="166" t="s">
        <v>2326</v>
      </c>
      <c r="E1142" s="166" t="s">
        <v>128</v>
      </c>
      <c r="F1142" s="166" t="s">
        <v>128</v>
      </c>
      <c r="G1142" s="111" t="s">
        <v>224</v>
      </c>
    </row>
    <row r="1143" spans="2:7" x14ac:dyDescent="0.25">
      <c r="B1143" s="141" t="s">
        <v>1731</v>
      </c>
      <c r="C1143" s="137" t="s">
        <v>2333</v>
      </c>
      <c r="D1143" s="166" t="s">
        <v>2326</v>
      </c>
      <c r="E1143" s="166" t="s">
        <v>128</v>
      </c>
      <c r="F1143" s="166" t="s">
        <v>128</v>
      </c>
      <c r="G1143" s="111" t="s">
        <v>2339</v>
      </c>
    </row>
    <row r="1144" spans="2:7" x14ac:dyDescent="0.25">
      <c r="B1144" s="141" t="s">
        <v>1731</v>
      </c>
      <c r="C1144" s="137" t="s">
        <v>2334</v>
      </c>
      <c r="D1144" s="166" t="s">
        <v>2326</v>
      </c>
      <c r="E1144" s="166" t="s">
        <v>128</v>
      </c>
      <c r="F1144" s="166" t="s">
        <v>128</v>
      </c>
      <c r="G1144" s="111" t="s">
        <v>2339</v>
      </c>
    </row>
    <row r="1145" spans="2:7" x14ac:dyDescent="0.25">
      <c r="B1145" s="141" t="s">
        <v>1731</v>
      </c>
      <c r="C1145" s="137" t="s">
        <v>2335</v>
      </c>
      <c r="D1145" s="166" t="s">
        <v>2326</v>
      </c>
      <c r="E1145" s="166" t="s">
        <v>128</v>
      </c>
      <c r="F1145" s="166" t="s">
        <v>128</v>
      </c>
      <c r="G1145" s="111" t="s">
        <v>1323</v>
      </c>
    </row>
    <row r="1146" spans="2:7" x14ac:dyDescent="0.25">
      <c r="B1146" s="141" t="s">
        <v>1731</v>
      </c>
      <c r="C1146" s="137" t="s">
        <v>2336</v>
      </c>
      <c r="D1146" s="166" t="s">
        <v>2326</v>
      </c>
      <c r="E1146" s="166" t="s">
        <v>128</v>
      </c>
      <c r="F1146" s="166" t="s">
        <v>128</v>
      </c>
      <c r="G1146" s="111" t="s">
        <v>1323</v>
      </c>
    </row>
    <row r="1147" spans="2:7" x14ac:dyDescent="0.25">
      <c r="B1147" s="141" t="s">
        <v>1731</v>
      </c>
      <c r="C1147" s="137" t="s">
        <v>2337</v>
      </c>
      <c r="D1147" s="166" t="s">
        <v>2326</v>
      </c>
      <c r="E1147" s="166" t="s">
        <v>128</v>
      </c>
      <c r="F1147" s="166" t="s">
        <v>128</v>
      </c>
      <c r="G1147" s="111" t="s">
        <v>328</v>
      </c>
    </row>
    <row r="1148" spans="2:7" x14ac:dyDescent="0.25">
      <c r="B1148" s="141" t="s">
        <v>1731</v>
      </c>
      <c r="C1148" s="137" t="s">
        <v>2338</v>
      </c>
      <c r="D1148" s="166" t="s">
        <v>2326</v>
      </c>
      <c r="E1148" s="166" t="s">
        <v>128</v>
      </c>
      <c r="F1148" s="166" t="s">
        <v>128</v>
      </c>
      <c r="G1148" s="111" t="s">
        <v>328</v>
      </c>
    </row>
    <row r="1149" spans="2:7" x14ac:dyDescent="0.25">
      <c r="B1149" s="141" t="s">
        <v>1731</v>
      </c>
      <c r="C1149" s="137" t="s">
        <v>2340</v>
      </c>
      <c r="D1149" s="166" t="s">
        <v>2326</v>
      </c>
      <c r="E1149" s="166" t="s">
        <v>128</v>
      </c>
      <c r="F1149" s="166" t="s">
        <v>128</v>
      </c>
      <c r="G1149" s="111" t="s">
        <v>331</v>
      </c>
    </row>
    <row r="1150" spans="2:7" x14ac:dyDescent="0.25">
      <c r="B1150" s="141" t="s">
        <v>1731</v>
      </c>
      <c r="C1150" s="137" t="s">
        <v>2341</v>
      </c>
      <c r="D1150" s="166" t="s">
        <v>2326</v>
      </c>
      <c r="E1150" s="166" t="s">
        <v>128</v>
      </c>
      <c r="F1150" s="166" t="s">
        <v>128</v>
      </c>
      <c r="G1150" s="111" t="s">
        <v>331</v>
      </c>
    </row>
    <row r="1151" spans="2:7" x14ac:dyDescent="0.25">
      <c r="B1151" s="141" t="s">
        <v>1731</v>
      </c>
      <c r="C1151" s="137" t="s">
        <v>2342</v>
      </c>
      <c r="D1151" s="166" t="s">
        <v>2326</v>
      </c>
      <c r="E1151" s="166" t="s">
        <v>128</v>
      </c>
      <c r="F1151" s="166" t="s">
        <v>128</v>
      </c>
      <c r="G1151" s="167" t="s">
        <v>589</v>
      </c>
    </row>
    <row r="1152" spans="2:7" x14ac:dyDescent="0.25">
      <c r="B1152" s="141" t="s">
        <v>1731</v>
      </c>
      <c r="C1152" s="137" t="s">
        <v>2343</v>
      </c>
      <c r="D1152" s="166" t="s">
        <v>2326</v>
      </c>
      <c r="E1152" s="166" t="s">
        <v>128</v>
      </c>
      <c r="F1152" s="166" t="s">
        <v>128</v>
      </c>
      <c r="G1152" s="167"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2344</v>
      </c>
      <c r="D1195" s="174" t="s">
        <v>2363</v>
      </c>
      <c r="E1195" s="174" t="s">
        <v>128</v>
      </c>
      <c r="F1195" s="174" t="s">
        <v>128</v>
      </c>
      <c r="G1195" s="109" t="s">
        <v>2350</v>
      </c>
    </row>
    <row r="1196" spans="2:7" ht="30" x14ac:dyDescent="0.25">
      <c r="B1196" s="141" t="s">
        <v>1733</v>
      </c>
      <c r="C1196" s="137" t="s">
        <v>2345</v>
      </c>
      <c r="D1196" s="166" t="s">
        <v>2363</v>
      </c>
      <c r="E1196" s="166" t="s">
        <v>128</v>
      </c>
      <c r="F1196" s="166" t="s">
        <v>128</v>
      </c>
      <c r="G1196" s="111" t="s">
        <v>2350</v>
      </c>
    </row>
    <row r="1197" spans="2:7" x14ac:dyDescent="0.25">
      <c r="B1197" s="141" t="s">
        <v>1733</v>
      </c>
      <c r="C1197" s="137" t="s">
        <v>2346</v>
      </c>
      <c r="D1197" s="166" t="s">
        <v>2364</v>
      </c>
      <c r="E1197" s="166" t="s">
        <v>128</v>
      </c>
      <c r="F1197" s="166" t="s">
        <v>128</v>
      </c>
      <c r="G1197" s="111" t="s">
        <v>2352</v>
      </c>
    </row>
    <row r="1198" spans="2:7" ht="30" x14ac:dyDescent="0.25">
      <c r="B1198" s="141" t="s">
        <v>1733</v>
      </c>
      <c r="C1198" s="137" t="s">
        <v>2347</v>
      </c>
      <c r="D1198" s="166" t="s">
        <v>2365</v>
      </c>
      <c r="E1198" s="166" t="s">
        <v>128</v>
      </c>
      <c r="F1198" s="166" t="s">
        <v>128</v>
      </c>
      <c r="G1198" s="111" t="s">
        <v>2351</v>
      </c>
    </row>
    <row r="1199" spans="2:7" ht="30" x14ac:dyDescent="0.25">
      <c r="B1199" s="141" t="s">
        <v>1733</v>
      </c>
      <c r="C1199" s="137" t="s">
        <v>2348</v>
      </c>
      <c r="D1199" s="166" t="s">
        <v>2365</v>
      </c>
      <c r="E1199" s="166" t="s">
        <v>128</v>
      </c>
      <c r="F1199" s="166" t="s">
        <v>128</v>
      </c>
      <c r="G1199" s="111" t="s">
        <v>2351</v>
      </c>
    </row>
    <row r="1200" spans="2:7" ht="30" x14ac:dyDescent="0.25">
      <c r="B1200" s="141" t="s">
        <v>1733</v>
      </c>
      <c r="C1200" s="137" t="s">
        <v>2349</v>
      </c>
      <c r="D1200" s="166" t="s">
        <v>2363</v>
      </c>
      <c r="E1200" s="166" t="s">
        <v>128</v>
      </c>
      <c r="F1200" s="166" t="s">
        <v>128</v>
      </c>
      <c r="G1200" s="111" t="s">
        <v>2350</v>
      </c>
    </row>
    <row r="1201" spans="2:7" ht="30" x14ac:dyDescent="0.25">
      <c r="B1201" s="141" t="s">
        <v>1733</v>
      </c>
      <c r="C1201" s="137" t="s">
        <v>2353</v>
      </c>
      <c r="D1201" s="166" t="s">
        <v>2363</v>
      </c>
      <c r="E1201" s="166" t="s">
        <v>128</v>
      </c>
      <c r="F1201" s="166" t="s">
        <v>128</v>
      </c>
      <c r="G1201" s="111" t="s">
        <v>2350</v>
      </c>
    </row>
    <row r="1202" spans="2:7" x14ac:dyDescent="0.25">
      <c r="B1202" s="141" t="s">
        <v>1733</v>
      </c>
      <c r="C1202" s="137" t="s">
        <v>2354</v>
      </c>
      <c r="D1202" s="166" t="s">
        <v>739</v>
      </c>
      <c r="E1202" s="166" t="s">
        <v>128</v>
      </c>
      <c r="F1202" s="166" t="s">
        <v>128</v>
      </c>
      <c r="G1202" s="111" t="s">
        <v>2352</v>
      </c>
    </row>
    <row r="1203" spans="2:7" x14ac:dyDescent="0.25">
      <c r="B1203" s="141" t="s">
        <v>1733</v>
      </c>
      <c r="C1203" s="137" t="s">
        <v>2355</v>
      </c>
      <c r="D1203" s="166" t="s">
        <v>2364</v>
      </c>
      <c r="E1203" s="166" t="s">
        <v>128</v>
      </c>
      <c r="F1203" s="166" t="s">
        <v>128</v>
      </c>
      <c r="G1203" s="111" t="s">
        <v>2352</v>
      </c>
    </row>
    <row r="1204" spans="2:7" x14ac:dyDescent="0.25">
      <c r="B1204" s="141" t="s">
        <v>1733</v>
      </c>
      <c r="C1204" s="137" t="s">
        <v>2356</v>
      </c>
      <c r="D1204" s="166" t="s">
        <v>739</v>
      </c>
      <c r="E1204" s="166" t="s">
        <v>128</v>
      </c>
      <c r="F1204" s="166" t="s">
        <v>128</v>
      </c>
      <c r="G1204" s="111" t="s">
        <v>2352</v>
      </c>
    </row>
    <row r="1205" spans="2:7" x14ac:dyDescent="0.25">
      <c r="B1205" s="141" t="s">
        <v>1733</v>
      </c>
      <c r="C1205" s="137" t="s">
        <v>2357</v>
      </c>
      <c r="D1205" s="166" t="s">
        <v>2364</v>
      </c>
      <c r="E1205" s="166" t="s">
        <v>128</v>
      </c>
      <c r="F1205" s="166" t="s">
        <v>128</v>
      </c>
      <c r="G1205" s="111" t="s">
        <v>2352</v>
      </c>
    </row>
    <row r="1206" spans="2:7" x14ac:dyDescent="0.25">
      <c r="B1206" s="141" t="s">
        <v>1733</v>
      </c>
      <c r="C1206" s="137" t="s">
        <v>2358</v>
      </c>
      <c r="D1206" s="166" t="s">
        <v>2364</v>
      </c>
      <c r="E1206" s="166" t="s">
        <v>128</v>
      </c>
      <c r="F1206" s="166" t="s">
        <v>128</v>
      </c>
      <c r="G1206" s="111" t="s">
        <v>2352</v>
      </c>
    </row>
    <row r="1207" spans="2:7" x14ac:dyDescent="0.25">
      <c r="B1207" s="141" t="s">
        <v>1733</v>
      </c>
      <c r="C1207" s="137" t="s">
        <v>2359</v>
      </c>
      <c r="D1207" s="166" t="s">
        <v>739</v>
      </c>
      <c r="E1207" s="166" t="s">
        <v>128</v>
      </c>
      <c r="F1207" s="166" t="s">
        <v>128</v>
      </c>
      <c r="G1207" s="111" t="s">
        <v>2351</v>
      </c>
    </row>
    <row r="1208" spans="2:7" x14ac:dyDescent="0.25">
      <c r="B1208" s="141" t="s">
        <v>1733</v>
      </c>
      <c r="C1208" s="137" t="s">
        <v>2360</v>
      </c>
      <c r="D1208" s="166" t="s">
        <v>739</v>
      </c>
      <c r="E1208" s="166" t="s">
        <v>128</v>
      </c>
      <c r="F1208" s="166" t="s">
        <v>128</v>
      </c>
      <c r="G1208" s="111" t="s">
        <v>2351</v>
      </c>
    </row>
    <row r="1209" spans="2:7" ht="30" x14ac:dyDescent="0.25">
      <c r="B1209" s="141" t="s">
        <v>1733</v>
      </c>
      <c r="C1209" s="137" t="s">
        <v>2361</v>
      </c>
      <c r="D1209" s="166" t="s">
        <v>2363</v>
      </c>
      <c r="E1209" s="166" t="s">
        <v>128</v>
      </c>
      <c r="F1209" s="166" t="s">
        <v>128</v>
      </c>
      <c r="G1209" s="111" t="s">
        <v>2350</v>
      </c>
    </row>
    <row r="1210" spans="2:7" ht="30" x14ac:dyDescent="0.25">
      <c r="B1210" s="143" t="s">
        <v>1733</v>
      </c>
      <c r="C1210" s="168" t="s">
        <v>2362</v>
      </c>
      <c r="D1210" s="169" t="s">
        <v>2363</v>
      </c>
      <c r="E1210" s="169" t="s">
        <v>128</v>
      </c>
      <c r="F1210" s="169" t="s">
        <v>128</v>
      </c>
      <c r="G1210" s="113" t="s">
        <v>2350</v>
      </c>
    </row>
    <row r="1211" spans="2:7" x14ac:dyDescent="0.25">
      <c r="B1211" s="141" t="s">
        <v>1734</v>
      </c>
      <c r="C1211" s="137" t="s">
        <v>2367</v>
      </c>
      <c r="D1211" s="166" t="s">
        <v>2366</v>
      </c>
      <c r="E1211" s="166" t="s">
        <v>128</v>
      </c>
      <c r="F1211" s="166" t="s">
        <v>128</v>
      </c>
      <c r="G1211" s="167" t="s">
        <v>491</v>
      </c>
    </row>
    <row r="1212" spans="2:7" x14ac:dyDescent="0.25">
      <c r="B1212" s="141" t="s">
        <v>1734</v>
      </c>
      <c r="C1212" s="137" t="s">
        <v>2368</v>
      </c>
      <c r="D1212" s="166" t="s">
        <v>2366</v>
      </c>
      <c r="E1212" s="166" t="s">
        <v>128</v>
      </c>
      <c r="F1212" s="166" t="s">
        <v>128</v>
      </c>
      <c r="G1212" s="167" t="s">
        <v>2369</v>
      </c>
    </row>
    <row r="1213" spans="2:7" x14ac:dyDescent="0.25">
      <c r="B1213" s="141" t="s">
        <v>1734</v>
      </c>
      <c r="C1213" s="137" t="s">
        <v>2370</v>
      </c>
      <c r="D1213" s="166" t="s">
        <v>2366</v>
      </c>
      <c r="E1213" s="166" t="s">
        <v>128</v>
      </c>
      <c r="F1213" s="166" t="s">
        <v>128</v>
      </c>
      <c r="G1213" s="167" t="s">
        <v>441</v>
      </c>
    </row>
    <row r="1214" spans="2:7" x14ac:dyDescent="0.25">
      <c r="B1214" s="141" t="s">
        <v>1734</v>
      </c>
      <c r="C1214" s="137" t="s">
        <v>2371</v>
      </c>
      <c r="D1214" s="166" t="s">
        <v>2366</v>
      </c>
      <c r="E1214" s="166" t="s">
        <v>128</v>
      </c>
      <c r="F1214" s="166" t="s">
        <v>128</v>
      </c>
      <c r="G1214" s="167" t="s">
        <v>2372</v>
      </c>
    </row>
    <row r="1215" spans="2:7" x14ac:dyDescent="0.25">
      <c r="B1215" s="141" t="s">
        <v>1734</v>
      </c>
      <c r="C1215" s="137" t="s">
        <v>2373</v>
      </c>
      <c r="D1215" s="166" t="s">
        <v>2366</v>
      </c>
      <c r="E1215" s="166" t="s">
        <v>128</v>
      </c>
      <c r="F1215" s="166" t="s">
        <v>128</v>
      </c>
      <c r="G1215" s="167" t="s">
        <v>2374</v>
      </c>
    </row>
    <row r="1216" spans="2:7" x14ac:dyDescent="0.25">
      <c r="B1216" s="141" t="s">
        <v>1734</v>
      </c>
      <c r="C1216" s="137" t="s">
        <v>2375</v>
      </c>
      <c r="D1216" s="166" t="s">
        <v>2366</v>
      </c>
      <c r="E1216" s="166" t="s">
        <v>128</v>
      </c>
      <c r="F1216" s="166" t="s">
        <v>128</v>
      </c>
      <c r="G1216" s="167" t="s">
        <v>444</v>
      </c>
    </row>
    <row r="1217" spans="2:7" x14ac:dyDescent="0.25">
      <c r="B1217" s="141" t="s">
        <v>1734</v>
      </c>
      <c r="C1217" s="137" t="s">
        <v>2376</v>
      </c>
      <c r="D1217" s="166" t="s">
        <v>2366</v>
      </c>
      <c r="E1217" s="166" t="s">
        <v>128</v>
      </c>
      <c r="F1217" s="166" t="s">
        <v>128</v>
      </c>
      <c r="G1217" s="167" t="s">
        <v>2377</v>
      </c>
    </row>
    <row r="1218" spans="2:7" x14ac:dyDescent="0.25">
      <c r="B1218" s="141" t="s">
        <v>1734</v>
      </c>
      <c r="C1218" s="137" t="s">
        <v>2378</v>
      </c>
      <c r="D1218" s="166" t="s">
        <v>2366</v>
      </c>
      <c r="E1218" s="166" t="s">
        <v>128</v>
      </c>
      <c r="F1218" s="166" t="s">
        <v>128</v>
      </c>
      <c r="G1218" s="167" t="s">
        <v>2379</v>
      </c>
    </row>
    <row r="1219" spans="2:7" x14ac:dyDescent="0.25">
      <c r="B1219" s="141" t="s">
        <v>1734</v>
      </c>
      <c r="C1219" s="137" t="s">
        <v>2380</v>
      </c>
      <c r="D1219" s="166" t="s">
        <v>2366</v>
      </c>
      <c r="E1219" s="166" t="s">
        <v>128</v>
      </c>
      <c r="F1219" s="166" t="s">
        <v>128</v>
      </c>
      <c r="G1219" s="167" t="s">
        <v>447</v>
      </c>
    </row>
    <row r="1220" spans="2:7" x14ac:dyDescent="0.25">
      <c r="B1220" s="141" t="s">
        <v>1734</v>
      </c>
      <c r="C1220" s="137" t="s">
        <v>2381</v>
      </c>
      <c r="D1220" s="166" t="s">
        <v>2366</v>
      </c>
      <c r="E1220" s="166" t="s">
        <v>128</v>
      </c>
      <c r="F1220" s="166" t="s">
        <v>128</v>
      </c>
      <c r="G1220" s="167" t="s">
        <v>2382</v>
      </c>
    </row>
    <row r="1221" spans="2:7" x14ac:dyDescent="0.25">
      <c r="B1221" s="141" t="s">
        <v>1734</v>
      </c>
      <c r="C1221" s="137" t="s">
        <v>2383</v>
      </c>
      <c r="D1221" s="166" t="s">
        <v>2366</v>
      </c>
      <c r="E1221" s="166" t="s">
        <v>128</v>
      </c>
      <c r="F1221" s="166" t="s">
        <v>128</v>
      </c>
      <c r="G1221" s="167" t="s">
        <v>450</v>
      </c>
    </row>
    <row r="1222" spans="2:7" x14ac:dyDescent="0.25">
      <c r="B1222" s="141" t="s">
        <v>1734</v>
      </c>
      <c r="C1222" s="137" t="s">
        <v>2384</v>
      </c>
      <c r="D1222" s="166" t="s">
        <v>2366</v>
      </c>
      <c r="E1222" s="166" t="s">
        <v>128</v>
      </c>
      <c r="F1222" s="166" t="s">
        <v>128</v>
      </c>
      <c r="G1222" s="167" t="s">
        <v>453</v>
      </c>
    </row>
    <row r="1223" spans="2:7" x14ac:dyDescent="0.25">
      <c r="B1223" s="141" t="s">
        <v>1734</v>
      </c>
      <c r="C1223" s="137" t="s">
        <v>2385</v>
      </c>
      <c r="D1223" s="166" t="s">
        <v>2366</v>
      </c>
      <c r="E1223" s="166" t="s">
        <v>128</v>
      </c>
      <c r="F1223" s="166" t="s">
        <v>128</v>
      </c>
      <c r="G1223" s="167" t="s">
        <v>491</v>
      </c>
    </row>
    <row r="1224" spans="2:7" x14ac:dyDescent="0.25">
      <c r="B1224" s="141" t="s">
        <v>1734</v>
      </c>
      <c r="C1224" s="137" t="s">
        <v>2386</v>
      </c>
      <c r="D1224" s="166" t="s">
        <v>2366</v>
      </c>
      <c r="E1224" s="166" t="s">
        <v>128</v>
      </c>
      <c r="F1224" s="166" t="s">
        <v>128</v>
      </c>
      <c r="G1224" s="167" t="s">
        <v>2369</v>
      </c>
    </row>
    <row r="1225" spans="2:7" x14ac:dyDescent="0.25">
      <c r="B1225" s="141" t="s">
        <v>1734</v>
      </c>
      <c r="C1225" s="137" t="s">
        <v>2387</v>
      </c>
      <c r="D1225" s="166" t="s">
        <v>2366</v>
      </c>
      <c r="E1225" s="166" t="s">
        <v>128</v>
      </c>
      <c r="F1225" s="166" t="s">
        <v>128</v>
      </c>
      <c r="G1225" s="167" t="s">
        <v>441</v>
      </c>
    </row>
    <row r="1226" spans="2:7" x14ac:dyDescent="0.25">
      <c r="B1226" s="141" t="s">
        <v>1734</v>
      </c>
      <c r="C1226" s="137" t="s">
        <v>2388</v>
      </c>
      <c r="D1226" s="166" t="s">
        <v>2366</v>
      </c>
      <c r="E1226" s="166" t="s">
        <v>128</v>
      </c>
      <c r="F1226" s="166" t="s">
        <v>128</v>
      </c>
      <c r="G1226" s="167" t="s">
        <v>2372</v>
      </c>
    </row>
    <row r="1227" spans="2:7" x14ac:dyDescent="0.25">
      <c r="B1227" s="141" t="s">
        <v>1734</v>
      </c>
      <c r="C1227" s="137" t="s">
        <v>2389</v>
      </c>
      <c r="D1227" s="166" t="s">
        <v>2366</v>
      </c>
      <c r="E1227" s="166" t="s">
        <v>128</v>
      </c>
      <c r="F1227" s="166" t="s">
        <v>128</v>
      </c>
      <c r="G1227" s="167" t="s">
        <v>2374</v>
      </c>
    </row>
    <row r="1228" spans="2:7" x14ac:dyDescent="0.25">
      <c r="B1228" s="141" t="s">
        <v>1734</v>
      </c>
      <c r="C1228" s="137" t="s">
        <v>2390</v>
      </c>
      <c r="D1228" s="166" t="s">
        <v>2366</v>
      </c>
      <c r="E1228" s="166" t="s">
        <v>128</v>
      </c>
      <c r="F1228" s="166" t="s">
        <v>128</v>
      </c>
      <c r="G1228" s="167" t="s">
        <v>444</v>
      </c>
    </row>
    <row r="1229" spans="2:7" x14ac:dyDescent="0.25">
      <c r="B1229" s="141" t="s">
        <v>1734</v>
      </c>
      <c r="C1229" s="137" t="s">
        <v>2391</v>
      </c>
      <c r="D1229" s="166" t="s">
        <v>2366</v>
      </c>
      <c r="E1229" s="166" t="s">
        <v>128</v>
      </c>
      <c r="F1229" s="166" t="s">
        <v>128</v>
      </c>
      <c r="G1229" s="167" t="s">
        <v>2377</v>
      </c>
    </row>
    <row r="1230" spans="2:7" x14ac:dyDescent="0.25">
      <c r="B1230" s="141" t="s">
        <v>1734</v>
      </c>
      <c r="C1230" s="137" t="s">
        <v>2392</v>
      </c>
      <c r="D1230" s="166" t="s">
        <v>2366</v>
      </c>
      <c r="E1230" s="166" t="s">
        <v>128</v>
      </c>
      <c r="F1230" s="166" t="s">
        <v>128</v>
      </c>
      <c r="G1230" s="167" t="s">
        <v>2379</v>
      </c>
    </row>
    <row r="1231" spans="2:7" x14ac:dyDescent="0.25">
      <c r="B1231" s="141" t="s">
        <v>1734</v>
      </c>
      <c r="C1231" s="137" t="s">
        <v>2393</v>
      </c>
      <c r="D1231" s="166" t="s">
        <v>2366</v>
      </c>
      <c r="E1231" s="166" t="s">
        <v>128</v>
      </c>
      <c r="F1231" s="166" t="s">
        <v>128</v>
      </c>
      <c r="G1231" s="167" t="s">
        <v>447</v>
      </c>
    </row>
    <row r="1232" spans="2:7" x14ac:dyDescent="0.25">
      <c r="B1232" s="141" t="s">
        <v>1734</v>
      </c>
      <c r="C1232" s="137" t="s">
        <v>2394</v>
      </c>
      <c r="D1232" s="166" t="s">
        <v>2366</v>
      </c>
      <c r="E1232" s="166" t="s">
        <v>128</v>
      </c>
      <c r="F1232" s="166" t="s">
        <v>128</v>
      </c>
      <c r="G1232" s="167" t="s">
        <v>2382</v>
      </c>
    </row>
    <row r="1233" spans="2:7" x14ac:dyDescent="0.25">
      <c r="B1233" s="141" t="s">
        <v>1734</v>
      </c>
      <c r="C1233" s="137" t="s">
        <v>2395</v>
      </c>
      <c r="D1233" s="166" t="s">
        <v>2366</v>
      </c>
      <c r="E1233" s="166" t="s">
        <v>128</v>
      </c>
      <c r="F1233" s="166" t="s">
        <v>128</v>
      </c>
      <c r="G1233" s="167" t="s">
        <v>450</v>
      </c>
    </row>
    <row r="1234" spans="2:7" x14ac:dyDescent="0.25">
      <c r="B1234" s="141" t="s">
        <v>1734</v>
      </c>
      <c r="C1234" s="137" t="s">
        <v>2396</v>
      </c>
      <c r="D1234" s="166" t="s">
        <v>2366</v>
      </c>
      <c r="E1234" s="166" t="s">
        <v>128</v>
      </c>
      <c r="F1234" s="166" t="s">
        <v>128</v>
      </c>
      <c r="G1234" s="167" t="s">
        <v>453</v>
      </c>
    </row>
    <row r="1235" spans="2:7" x14ac:dyDescent="0.25">
      <c r="B1235" s="141" t="s">
        <v>1734</v>
      </c>
      <c r="C1235" s="137" t="s">
        <v>2397</v>
      </c>
      <c r="D1235" s="166" t="s">
        <v>2366</v>
      </c>
      <c r="E1235" s="166" t="s">
        <v>128</v>
      </c>
      <c r="F1235" s="166" t="s">
        <v>128</v>
      </c>
      <c r="G1235" s="167" t="s">
        <v>491</v>
      </c>
    </row>
    <row r="1236" spans="2:7" x14ac:dyDescent="0.25">
      <c r="B1236" s="141" t="s">
        <v>1734</v>
      </c>
      <c r="C1236" s="137" t="s">
        <v>2398</v>
      </c>
      <c r="D1236" s="166" t="s">
        <v>2366</v>
      </c>
      <c r="E1236" s="166" t="s">
        <v>128</v>
      </c>
      <c r="F1236" s="166" t="s">
        <v>128</v>
      </c>
      <c r="G1236" s="167" t="s">
        <v>2369</v>
      </c>
    </row>
    <row r="1237" spans="2:7" x14ac:dyDescent="0.25">
      <c r="B1237" s="141" t="s">
        <v>1734</v>
      </c>
      <c r="C1237" s="137" t="s">
        <v>2399</v>
      </c>
      <c r="D1237" s="166" t="s">
        <v>2366</v>
      </c>
      <c r="E1237" s="166" t="s">
        <v>128</v>
      </c>
      <c r="F1237" s="166" t="s">
        <v>128</v>
      </c>
      <c r="G1237" s="167" t="s">
        <v>441</v>
      </c>
    </row>
    <row r="1238" spans="2:7" x14ac:dyDescent="0.25">
      <c r="B1238" s="141" t="s">
        <v>1734</v>
      </c>
      <c r="C1238" s="137" t="s">
        <v>2400</v>
      </c>
      <c r="D1238" s="166" t="s">
        <v>2366</v>
      </c>
      <c r="E1238" s="166" t="s">
        <v>128</v>
      </c>
      <c r="F1238" s="166" t="s">
        <v>128</v>
      </c>
      <c r="G1238" s="167" t="s">
        <v>2372</v>
      </c>
    </row>
    <row r="1239" spans="2:7" x14ac:dyDescent="0.25">
      <c r="B1239" s="141" t="s">
        <v>1734</v>
      </c>
      <c r="C1239" s="137" t="s">
        <v>2401</v>
      </c>
      <c r="D1239" s="166" t="s">
        <v>2366</v>
      </c>
      <c r="E1239" s="166" t="s">
        <v>128</v>
      </c>
      <c r="F1239" s="166" t="s">
        <v>128</v>
      </c>
      <c r="G1239" s="167" t="s">
        <v>2374</v>
      </c>
    </row>
    <row r="1240" spans="2:7" x14ac:dyDescent="0.25">
      <c r="B1240" s="141" t="s">
        <v>1734</v>
      </c>
      <c r="C1240" s="137" t="s">
        <v>2402</v>
      </c>
      <c r="D1240" s="166" t="s">
        <v>2366</v>
      </c>
      <c r="E1240" s="166" t="s">
        <v>128</v>
      </c>
      <c r="F1240" s="166" t="s">
        <v>128</v>
      </c>
      <c r="G1240" s="167" t="s">
        <v>444</v>
      </c>
    </row>
    <row r="1241" spans="2:7" x14ac:dyDescent="0.25">
      <c r="B1241" s="141" t="s">
        <v>1734</v>
      </c>
      <c r="C1241" s="137" t="s">
        <v>2403</v>
      </c>
      <c r="D1241" s="166" t="s">
        <v>2366</v>
      </c>
      <c r="E1241" s="166" t="s">
        <v>128</v>
      </c>
      <c r="F1241" s="166" t="s">
        <v>128</v>
      </c>
      <c r="G1241" s="167" t="s">
        <v>2377</v>
      </c>
    </row>
    <row r="1242" spans="2:7" x14ac:dyDescent="0.25">
      <c r="B1242" s="141" t="s">
        <v>1734</v>
      </c>
      <c r="C1242" s="137" t="s">
        <v>2404</v>
      </c>
      <c r="D1242" s="166" t="s">
        <v>2366</v>
      </c>
      <c r="E1242" s="166" t="s">
        <v>128</v>
      </c>
      <c r="F1242" s="166" t="s">
        <v>128</v>
      </c>
      <c r="G1242" s="167" t="s">
        <v>2379</v>
      </c>
    </row>
    <row r="1243" spans="2:7" x14ac:dyDescent="0.25">
      <c r="B1243" s="141" t="s">
        <v>1734</v>
      </c>
      <c r="C1243" s="137" t="s">
        <v>2405</v>
      </c>
      <c r="D1243" s="166" t="s">
        <v>2366</v>
      </c>
      <c r="E1243" s="166" t="s">
        <v>128</v>
      </c>
      <c r="F1243" s="166" t="s">
        <v>128</v>
      </c>
      <c r="G1243" s="167" t="s">
        <v>447</v>
      </c>
    </row>
    <row r="1244" spans="2:7" x14ac:dyDescent="0.25">
      <c r="B1244" s="141" t="s">
        <v>1734</v>
      </c>
      <c r="C1244" s="137" t="s">
        <v>2406</v>
      </c>
      <c r="D1244" s="166" t="s">
        <v>2366</v>
      </c>
      <c r="E1244" s="166" t="s">
        <v>128</v>
      </c>
      <c r="F1244" s="166" t="s">
        <v>128</v>
      </c>
      <c r="G1244" s="167" t="s">
        <v>2382</v>
      </c>
    </row>
    <row r="1245" spans="2:7" x14ac:dyDescent="0.25">
      <c r="B1245" s="141" t="s">
        <v>1734</v>
      </c>
      <c r="C1245" s="137" t="s">
        <v>2407</v>
      </c>
      <c r="D1245" s="166" t="s">
        <v>2366</v>
      </c>
      <c r="E1245" s="166" t="s">
        <v>128</v>
      </c>
      <c r="F1245" s="166" t="s">
        <v>128</v>
      </c>
      <c r="G1245" s="167" t="s">
        <v>450</v>
      </c>
    </row>
    <row r="1246" spans="2:7" x14ac:dyDescent="0.25">
      <c r="B1246" s="141" t="s">
        <v>1734</v>
      </c>
      <c r="C1246" s="137" t="s">
        <v>2408</v>
      </c>
      <c r="D1246" s="166" t="s">
        <v>2366</v>
      </c>
      <c r="E1246" s="166" t="s">
        <v>128</v>
      </c>
      <c r="F1246" s="166" t="s">
        <v>128</v>
      </c>
      <c r="G1246" s="167" t="s">
        <v>453</v>
      </c>
    </row>
    <row r="1247" spans="2:7" x14ac:dyDescent="0.25">
      <c r="B1247" s="141" t="s">
        <v>1734</v>
      </c>
      <c r="C1247" s="137" t="s">
        <v>2409</v>
      </c>
      <c r="D1247" s="166" t="s">
        <v>2366</v>
      </c>
      <c r="E1247" s="166" t="s">
        <v>128</v>
      </c>
      <c r="F1247" s="166" t="s">
        <v>128</v>
      </c>
      <c r="G1247" s="167" t="s">
        <v>491</v>
      </c>
    </row>
    <row r="1248" spans="2:7" x14ac:dyDescent="0.25">
      <c r="B1248" s="141" t="s">
        <v>1734</v>
      </c>
      <c r="C1248" s="137" t="s">
        <v>2410</v>
      </c>
      <c r="D1248" s="166" t="s">
        <v>2366</v>
      </c>
      <c r="E1248" s="166" t="s">
        <v>128</v>
      </c>
      <c r="F1248" s="166" t="s">
        <v>128</v>
      </c>
      <c r="G1248" s="167" t="s">
        <v>2369</v>
      </c>
    </row>
    <row r="1249" spans="2:7" x14ac:dyDescent="0.25">
      <c r="B1249" s="141" t="s">
        <v>1734</v>
      </c>
      <c r="C1249" s="137" t="s">
        <v>2411</v>
      </c>
      <c r="D1249" s="166" t="s">
        <v>2366</v>
      </c>
      <c r="E1249" s="166" t="s">
        <v>128</v>
      </c>
      <c r="F1249" s="166" t="s">
        <v>128</v>
      </c>
      <c r="G1249" s="167" t="s">
        <v>441</v>
      </c>
    </row>
    <row r="1250" spans="2:7" x14ac:dyDescent="0.25">
      <c r="B1250" s="141" t="s">
        <v>1734</v>
      </c>
      <c r="C1250" s="137" t="s">
        <v>2412</v>
      </c>
      <c r="D1250" s="166" t="s">
        <v>2366</v>
      </c>
      <c r="E1250" s="166" t="s">
        <v>128</v>
      </c>
      <c r="F1250" s="166" t="s">
        <v>128</v>
      </c>
      <c r="G1250" s="167" t="s">
        <v>2372</v>
      </c>
    </row>
    <row r="1251" spans="2:7" x14ac:dyDescent="0.25">
      <c r="B1251" s="141" t="s">
        <v>1734</v>
      </c>
      <c r="C1251" s="137" t="s">
        <v>2413</v>
      </c>
      <c r="D1251" s="166" t="s">
        <v>2366</v>
      </c>
      <c r="E1251" s="166" t="s">
        <v>128</v>
      </c>
      <c r="F1251" s="166" t="s">
        <v>128</v>
      </c>
      <c r="G1251" s="167" t="s">
        <v>2374</v>
      </c>
    </row>
    <row r="1252" spans="2:7" x14ac:dyDescent="0.25">
      <c r="B1252" s="141" t="s">
        <v>1734</v>
      </c>
      <c r="C1252" s="137" t="s">
        <v>2414</v>
      </c>
      <c r="D1252" s="166" t="s">
        <v>2366</v>
      </c>
      <c r="E1252" s="166" t="s">
        <v>128</v>
      </c>
      <c r="F1252" s="166" t="s">
        <v>128</v>
      </c>
      <c r="G1252" s="167" t="s">
        <v>444</v>
      </c>
    </row>
    <row r="1253" spans="2:7" x14ac:dyDescent="0.25">
      <c r="B1253" s="141" t="s">
        <v>1734</v>
      </c>
      <c r="C1253" s="137" t="s">
        <v>2415</v>
      </c>
      <c r="D1253" s="166" t="s">
        <v>2366</v>
      </c>
      <c r="E1253" s="166" t="s">
        <v>128</v>
      </c>
      <c r="F1253" s="166" t="s">
        <v>128</v>
      </c>
      <c r="G1253" s="167" t="s">
        <v>2377</v>
      </c>
    </row>
    <row r="1254" spans="2:7" x14ac:dyDescent="0.25">
      <c r="B1254" s="141" t="s">
        <v>1734</v>
      </c>
      <c r="C1254" s="137" t="s">
        <v>2416</v>
      </c>
      <c r="D1254" s="166" t="s">
        <v>2366</v>
      </c>
      <c r="E1254" s="166" t="s">
        <v>128</v>
      </c>
      <c r="F1254" s="166" t="s">
        <v>128</v>
      </c>
      <c r="G1254" s="167" t="s">
        <v>2379</v>
      </c>
    </row>
    <row r="1255" spans="2:7" x14ac:dyDescent="0.25">
      <c r="B1255" s="141" t="s">
        <v>1734</v>
      </c>
      <c r="C1255" s="137" t="s">
        <v>2417</v>
      </c>
      <c r="D1255" s="166" t="s">
        <v>2366</v>
      </c>
      <c r="E1255" s="166" t="s">
        <v>128</v>
      </c>
      <c r="F1255" s="166" t="s">
        <v>128</v>
      </c>
      <c r="G1255" s="167" t="s">
        <v>447</v>
      </c>
    </row>
    <row r="1256" spans="2:7" x14ac:dyDescent="0.25">
      <c r="B1256" s="141" t="s">
        <v>1734</v>
      </c>
      <c r="C1256" s="137" t="s">
        <v>2418</v>
      </c>
      <c r="D1256" s="166" t="s">
        <v>2366</v>
      </c>
      <c r="E1256" s="166" t="s">
        <v>128</v>
      </c>
      <c r="F1256" s="166" t="s">
        <v>128</v>
      </c>
      <c r="G1256" s="167" t="s">
        <v>2382</v>
      </c>
    </row>
    <row r="1257" spans="2:7" x14ac:dyDescent="0.25">
      <c r="B1257" s="141" t="s">
        <v>1734</v>
      </c>
      <c r="C1257" s="137" t="s">
        <v>2419</v>
      </c>
      <c r="D1257" s="166" t="s">
        <v>2366</v>
      </c>
      <c r="E1257" s="166" t="s">
        <v>128</v>
      </c>
      <c r="F1257" s="166" t="s">
        <v>128</v>
      </c>
      <c r="G1257" s="167" t="s">
        <v>450</v>
      </c>
    </row>
    <row r="1258" spans="2:7" x14ac:dyDescent="0.25">
      <c r="B1258" s="143" t="s">
        <v>1734</v>
      </c>
      <c r="C1258" s="168" t="s">
        <v>2420</v>
      </c>
      <c r="D1258" s="169" t="s">
        <v>2366</v>
      </c>
      <c r="E1258" s="169" t="s">
        <v>128</v>
      </c>
      <c r="F1258" s="169" t="s">
        <v>128</v>
      </c>
      <c r="G1258" s="170" t="s">
        <v>453</v>
      </c>
    </row>
    <row r="1259" spans="2:7" ht="25.5" x14ac:dyDescent="0.25">
      <c r="B1259" s="141" t="s">
        <v>1735</v>
      </c>
      <c r="C1259" s="137" t="s">
        <v>1776</v>
      </c>
      <c r="D1259" s="166" t="s">
        <v>2421</v>
      </c>
      <c r="E1259" s="110" t="s">
        <v>1783</v>
      </c>
      <c r="F1259" s="166" t="s">
        <v>128</v>
      </c>
      <c r="G1259" s="111" t="s">
        <v>968</v>
      </c>
    </row>
    <row r="1260" spans="2:7" ht="25.5" x14ac:dyDescent="0.25">
      <c r="B1260" s="141" t="s">
        <v>1735</v>
      </c>
      <c r="C1260" s="137" t="s">
        <v>2422</v>
      </c>
      <c r="D1260" s="166" t="s">
        <v>2421</v>
      </c>
      <c r="E1260" s="110" t="s">
        <v>1783</v>
      </c>
      <c r="F1260" s="166" t="s">
        <v>128</v>
      </c>
      <c r="G1260" s="111" t="s">
        <v>968</v>
      </c>
    </row>
    <row r="1261" spans="2:7" ht="25.5" x14ac:dyDescent="0.25">
      <c r="B1261" s="141" t="s">
        <v>1735</v>
      </c>
      <c r="C1261" s="137" t="s">
        <v>2423</v>
      </c>
      <c r="D1261" s="166" t="s">
        <v>2421</v>
      </c>
      <c r="E1261" s="110" t="s">
        <v>1783</v>
      </c>
      <c r="F1261" s="166" t="s">
        <v>128</v>
      </c>
      <c r="G1261" s="111" t="s">
        <v>968</v>
      </c>
    </row>
    <row r="1262" spans="2:7" ht="25.5" x14ac:dyDescent="0.25">
      <c r="B1262" s="141" t="s">
        <v>1735</v>
      </c>
      <c r="C1262" s="137" t="s">
        <v>2424</v>
      </c>
      <c r="D1262" s="166" t="s">
        <v>2421</v>
      </c>
      <c r="E1262" s="110" t="s">
        <v>2425</v>
      </c>
      <c r="F1262" s="166" t="s">
        <v>128</v>
      </c>
      <c r="G1262" s="111" t="s">
        <v>968</v>
      </c>
    </row>
    <row r="1263" spans="2:7" ht="25.5" x14ac:dyDescent="0.25">
      <c r="B1263" s="141" t="s">
        <v>1735</v>
      </c>
      <c r="C1263" s="137" t="s">
        <v>2426</v>
      </c>
      <c r="D1263" s="166" t="s">
        <v>2421</v>
      </c>
      <c r="E1263" s="110" t="s">
        <v>2427</v>
      </c>
      <c r="F1263" s="166" t="s">
        <v>128</v>
      </c>
      <c r="G1263" s="111" t="s">
        <v>968</v>
      </c>
    </row>
    <row r="1264" spans="2:7" ht="25.5" x14ac:dyDescent="0.25">
      <c r="B1264" s="141" t="s">
        <v>1735</v>
      </c>
      <c r="C1264" s="137" t="s">
        <v>2428</v>
      </c>
      <c r="D1264" s="166" t="s">
        <v>2421</v>
      </c>
      <c r="E1264" s="110" t="s">
        <v>2425</v>
      </c>
      <c r="F1264" s="166" t="s">
        <v>128</v>
      </c>
      <c r="G1264" s="111" t="s">
        <v>968</v>
      </c>
    </row>
    <row r="1265" spans="2:7" ht="25.5" x14ac:dyDescent="0.25">
      <c r="B1265" s="141" t="s">
        <v>1735</v>
      </c>
      <c r="C1265" s="137" t="s">
        <v>2429</v>
      </c>
      <c r="D1265" s="166" t="s">
        <v>2421</v>
      </c>
      <c r="E1265" s="110" t="s">
        <v>2425</v>
      </c>
      <c r="F1265" s="166" t="s">
        <v>128</v>
      </c>
      <c r="G1265" s="111" t="s">
        <v>968</v>
      </c>
    </row>
    <row r="1266" spans="2:7" ht="25.5" x14ac:dyDescent="0.25">
      <c r="B1266" s="141" t="s">
        <v>1735</v>
      </c>
      <c r="C1266" s="137" t="s">
        <v>2430</v>
      </c>
      <c r="D1266" s="166" t="s">
        <v>2421</v>
      </c>
      <c r="E1266" s="110" t="s">
        <v>2427</v>
      </c>
      <c r="F1266" s="166" t="s">
        <v>128</v>
      </c>
      <c r="G1266" s="111" t="s">
        <v>968</v>
      </c>
    </row>
    <row r="1267" spans="2:7" ht="25.5" x14ac:dyDescent="0.25">
      <c r="B1267" s="141" t="s">
        <v>1735</v>
      </c>
      <c r="C1267" s="137" t="s">
        <v>2431</v>
      </c>
      <c r="D1267" s="166" t="s">
        <v>2421</v>
      </c>
      <c r="E1267" s="110" t="s">
        <v>1783</v>
      </c>
      <c r="F1267" s="166" t="s">
        <v>128</v>
      </c>
      <c r="G1267" s="111" t="s">
        <v>968</v>
      </c>
    </row>
    <row r="1268" spans="2:7" ht="25.5" x14ac:dyDescent="0.25">
      <c r="B1268" s="141" t="s">
        <v>1735</v>
      </c>
      <c r="C1268" s="137" t="s">
        <v>2432</v>
      </c>
      <c r="D1268" s="166" t="s">
        <v>2421</v>
      </c>
      <c r="E1268" s="110" t="s">
        <v>1783</v>
      </c>
      <c r="F1268" s="166" t="s">
        <v>128</v>
      </c>
      <c r="G1268" s="111" t="s">
        <v>968</v>
      </c>
    </row>
    <row r="1269" spans="2:7" ht="25.5" x14ac:dyDescent="0.25">
      <c r="B1269" s="141" t="s">
        <v>1735</v>
      </c>
      <c r="C1269" s="137" t="s">
        <v>2433</v>
      </c>
      <c r="D1269" s="166" t="s">
        <v>2421</v>
      </c>
      <c r="E1269" s="110" t="s">
        <v>1783</v>
      </c>
      <c r="F1269" s="166" t="s">
        <v>128</v>
      </c>
      <c r="G1269" s="111" t="s">
        <v>968</v>
      </c>
    </row>
    <row r="1270" spans="2:7" ht="25.5" x14ac:dyDescent="0.25">
      <c r="B1270" s="141" t="s">
        <v>1735</v>
      </c>
      <c r="C1270" s="137" t="s">
        <v>2434</v>
      </c>
      <c r="D1270" s="166" t="s">
        <v>2421</v>
      </c>
      <c r="E1270" s="110" t="s">
        <v>2425</v>
      </c>
      <c r="F1270" s="166" t="s">
        <v>128</v>
      </c>
      <c r="G1270" s="111" t="s">
        <v>968</v>
      </c>
    </row>
    <row r="1271" spans="2:7" ht="25.5" x14ac:dyDescent="0.25">
      <c r="B1271" s="141" t="s">
        <v>1735</v>
      </c>
      <c r="C1271" s="137" t="s">
        <v>2435</v>
      </c>
      <c r="D1271" s="166" t="s">
        <v>2421</v>
      </c>
      <c r="E1271" s="110" t="s">
        <v>2427</v>
      </c>
      <c r="F1271" s="166" t="s">
        <v>128</v>
      </c>
      <c r="G1271" s="111" t="s">
        <v>968</v>
      </c>
    </row>
    <row r="1272" spans="2:7" ht="25.5" x14ac:dyDescent="0.25">
      <c r="B1272" s="141" t="s">
        <v>1735</v>
      </c>
      <c r="C1272" s="137" t="s">
        <v>2436</v>
      </c>
      <c r="D1272" s="166" t="s">
        <v>2421</v>
      </c>
      <c r="E1272" s="110" t="s">
        <v>2425</v>
      </c>
      <c r="F1272" s="166" t="s">
        <v>128</v>
      </c>
      <c r="G1272" s="111" t="s">
        <v>968</v>
      </c>
    </row>
    <row r="1273" spans="2:7" ht="25.5" x14ac:dyDescent="0.25">
      <c r="B1273" s="141" t="s">
        <v>1735</v>
      </c>
      <c r="C1273" s="137" t="s">
        <v>2437</v>
      </c>
      <c r="D1273" s="166" t="s">
        <v>2421</v>
      </c>
      <c r="E1273" s="110" t="s">
        <v>2425</v>
      </c>
      <c r="F1273" s="166" t="s">
        <v>128</v>
      </c>
      <c r="G1273" s="111" t="s">
        <v>968</v>
      </c>
    </row>
    <row r="1274" spans="2:7" ht="25.5" x14ac:dyDescent="0.25">
      <c r="B1274" s="141" t="s">
        <v>1735</v>
      </c>
      <c r="C1274" s="137" t="s">
        <v>2438</v>
      </c>
      <c r="D1274" s="166" t="s">
        <v>2421</v>
      </c>
      <c r="E1274" s="110" t="s">
        <v>2427</v>
      </c>
      <c r="F1274" s="166" t="s">
        <v>128</v>
      </c>
      <c r="G1274" s="111" t="s">
        <v>968</v>
      </c>
    </row>
    <row r="1275" spans="2:7" ht="25.5" x14ac:dyDescent="0.25">
      <c r="B1275" s="141" t="s">
        <v>1735</v>
      </c>
      <c r="C1275" s="137" t="s">
        <v>2439</v>
      </c>
      <c r="D1275" s="166" t="s">
        <v>2421</v>
      </c>
      <c r="E1275" s="110" t="s">
        <v>1783</v>
      </c>
      <c r="F1275" s="166" t="s">
        <v>128</v>
      </c>
      <c r="G1275" s="111" t="s">
        <v>968</v>
      </c>
    </row>
    <row r="1276" spans="2:7" ht="25.5" x14ac:dyDescent="0.25">
      <c r="B1276" s="141" t="s">
        <v>1735</v>
      </c>
      <c r="C1276" s="137" t="s">
        <v>2440</v>
      </c>
      <c r="D1276" s="166" t="s">
        <v>2421</v>
      </c>
      <c r="E1276" s="110" t="s">
        <v>1783</v>
      </c>
      <c r="F1276" s="166" t="s">
        <v>128</v>
      </c>
      <c r="G1276" s="111" t="s">
        <v>968</v>
      </c>
    </row>
    <row r="1277" spans="2:7" ht="25.5" x14ac:dyDescent="0.25">
      <c r="B1277" s="141" t="s">
        <v>1735</v>
      </c>
      <c r="C1277" s="137" t="s">
        <v>2441</v>
      </c>
      <c r="D1277" s="166" t="s">
        <v>2421</v>
      </c>
      <c r="E1277" s="110" t="s">
        <v>1783</v>
      </c>
      <c r="F1277" s="166" t="s">
        <v>128</v>
      </c>
      <c r="G1277" s="111" t="s">
        <v>968</v>
      </c>
    </row>
    <row r="1278" spans="2:7" ht="25.5" x14ac:dyDescent="0.25">
      <c r="B1278" s="141" t="s">
        <v>1735</v>
      </c>
      <c r="C1278" s="137" t="s">
        <v>2442</v>
      </c>
      <c r="D1278" s="166" t="s">
        <v>2421</v>
      </c>
      <c r="E1278" s="110" t="s">
        <v>1783</v>
      </c>
      <c r="F1278" s="166" t="s">
        <v>128</v>
      </c>
      <c r="G1278" s="111" t="s">
        <v>968</v>
      </c>
    </row>
    <row r="1279" spans="2:7" ht="25.5" x14ac:dyDescent="0.25">
      <c r="B1279" s="141" t="s">
        <v>1735</v>
      </c>
      <c r="C1279" s="137" t="s">
        <v>2443</v>
      </c>
      <c r="D1279" s="166" t="s">
        <v>2421</v>
      </c>
      <c r="E1279" s="110" t="s">
        <v>2427</v>
      </c>
      <c r="F1279" s="166" t="s">
        <v>128</v>
      </c>
      <c r="G1279" s="111" t="s">
        <v>968</v>
      </c>
    </row>
    <row r="1280" spans="2:7" ht="25.5" x14ac:dyDescent="0.25">
      <c r="B1280" s="141" t="s">
        <v>1735</v>
      </c>
      <c r="C1280" s="137" t="s">
        <v>2444</v>
      </c>
      <c r="D1280" s="166" t="s">
        <v>2421</v>
      </c>
      <c r="E1280" s="110" t="s">
        <v>2427</v>
      </c>
      <c r="F1280" s="166" t="s">
        <v>128</v>
      </c>
      <c r="G1280" s="111" t="s">
        <v>968</v>
      </c>
    </row>
    <row r="1281" spans="2:7" ht="25.5" x14ac:dyDescent="0.25">
      <c r="B1281" s="141" t="s">
        <v>1735</v>
      </c>
      <c r="C1281" s="137" t="s">
        <v>2445</v>
      </c>
      <c r="D1281" s="166" t="s">
        <v>2421</v>
      </c>
      <c r="E1281" s="110" t="s">
        <v>2425</v>
      </c>
      <c r="F1281" s="166" t="s">
        <v>128</v>
      </c>
      <c r="G1281" s="111" t="s">
        <v>968</v>
      </c>
    </row>
    <row r="1282" spans="2:7" ht="25.5" x14ac:dyDescent="0.25">
      <c r="B1282" s="141" t="s">
        <v>1735</v>
      </c>
      <c r="C1282" s="137" t="s">
        <v>2446</v>
      </c>
      <c r="D1282" s="166" t="s">
        <v>2421</v>
      </c>
      <c r="E1282" s="110" t="s">
        <v>2425</v>
      </c>
      <c r="F1282" s="166" t="s">
        <v>128</v>
      </c>
      <c r="G1282" s="111" t="s">
        <v>968</v>
      </c>
    </row>
    <row r="1283" spans="2:7" ht="25.5" x14ac:dyDescent="0.25">
      <c r="B1283" s="141" t="s">
        <v>1735</v>
      </c>
      <c r="C1283" s="137" t="s">
        <v>2447</v>
      </c>
      <c r="D1283" s="166" t="s">
        <v>2421</v>
      </c>
      <c r="E1283" s="110" t="s">
        <v>2427</v>
      </c>
      <c r="F1283" s="166" t="s">
        <v>128</v>
      </c>
      <c r="G1283" s="111" t="s">
        <v>968</v>
      </c>
    </row>
    <row r="1284" spans="2:7" ht="25.5" x14ac:dyDescent="0.25">
      <c r="B1284" s="141" t="s">
        <v>1735</v>
      </c>
      <c r="C1284" s="137" t="s">
        <v>2448</v>
      </c>
      <c r="D1284" s="166" t="s">
        <v>2421</v>
      </c>
      <c r="E1284" s="110" t="s">
        <v>1783</v>
      </c>
      <c r="F1284" s="166" t="s">
        <v>128</v>
      </c>
      <c r="G1284" s="111" t="s">
        <v>968</v>
      </c>
    </row>
    <row r="1285" spans="2:7" ht="25.5" x14ac:dyDescent="0.25">
      <c r="B1285" s="141" t="s">
        <v>1735</v>
      </c>
      <c r="C1285" s="137" t="s">
        <v>2449</v>
      </c>
      <c r="D1285" s="166" t="s">
        <v>2421</v>
      </c>
      <c r="E1285" s="110" t="s">
        <v>1783</v>
      </c>
      <c r="F1285" s="166" t="s">
        <v>128</v>
      </c>
      <c r="G1285" s="111" t="s">
        <v>968</v>
      </c>
    </row>
    <row r="1286" spans="2:7" ht="25.5" x14ac:dyDescent="0.25">
      <c r="B1286" s="141" t="s">
        <v>1735</v>
      </c>
      <c r="C1286" s="137" t="s">
        <v>2450</v>
      </c>
      <c r="D1286" s="166" t="s">
        <v>2421</v>
      </c>
      <c r="E1286" s="110" t="s">
        <v>2427</v>
      </c>
      <c r="F1286" s="166" t="s">
        <v>128</v>
      </c>
      <c r="G1286" s="111" t="s">
        <v>968</v>
      </c>
    </row>
    <row r="1287" spans="2:7" ht="25.5" x14ac:dyDescent="0.25">
      <c r="B1287" s="141" t="s">
        <v>1735</v>
      </c>
      <c r="C1287" s="137" t="s">
        <v>2451</v>
      </c>
      <c r="D1287" s="166" t="s">
        <v>2421</v>
      </c>
      <c r="E1287" s="110" t="s">
        <v>2427</v>
      </c>
      <c r="F1287" s="166" t="s">
        <v>128</v>
      </c>
      <c r="G1287" s="111" t="s">
        <v>968</v>
      </c>
    </row>
    <row r="1288" spans="2:7" ht="25.5" x14ac:dyDescent="0.25">
      <c r="B1288" s="141" t="s">
        <v>1735</v>
      </c>
      <c r="C1288" s="137" t="s">
        <v>2452</v>
      </c>
      <c r="D1288" s="166" t="s">
        <v>2421</v>
      </c>
      <c r="E1288" s="110" t="s">
        <v>2425</v>
      </c>
      <c r="F1288" s="166" t="s">
        <v>128</v>
      </c>
      <c r="G1288" s="111" t="s">
        <v>968</v>
      </c>
    </row>
    <row r="1289" spans="2:7" ht="25.5" x14ac:dyDescent="0.25">
      <c r="B1289" s="141" t="s">
        <v>1735</v>
      </c>
      <c r="C1289" s="137" t="s">
        <v>2453</v>
      </c>
      <c r="D1289" s="166" t="s">
        <v>2421</v>
      </c>
      <c r="E1289" s="110" t="s">
        <v>2425</v>
      </c>
      <c r="F1289" s="166" t="s">
        <v>128</v>
      </c>
      <c r="G1289" s="111" t="s">
        <v>968</v>
      </c>
    </row>
    <row r="1290" spans="2:7" ht="25.5" x14ac:dyDescent="0.25">
      <c r="B1290" s="141" t="s">
        <v>1735</v>
      </c>
      <c r="C1290" s="137" t="s">
        <v>2454</v>
      </c>
      <c r="D1290" s="166" t="s">
        <v>2421</v>
      </c>
      <c r="E1290" s="110" t="s">
        <v>2427</v>
      </c>
      <c r="F1290" s="166" t="s">
        <v>128</v>
      </c>
      <c r="G1290" s="111" t="s">
        <v>968</v>
      </c>
    </row>
    <row r="1291" spans="2:7" ht="25.5" x14ac:dyDescent="0.25">
      <c r="B1291" s="141" t="s">
        <v>1735</v>
      </c>
      <c r="C1291" s="137" t="s">
        <v>2455</v>
      </c>
      <c r="D1291" s="166" t="s">
        <v>2421</v>
      </c>
      <c r="E1291" s="110" t="s">
        <v>1783</v>
      </c>
      <c r="F1291" s="166" t="s">
        <v>128</v>
      </c>
      <c r="G1291" s="111" t="s">
        <v>968</v>
      </c>
    </row>
    <row r="1292" spans="2:7" ht="25.5" x14ac:dyDescent="0.25">
      <c r="B1292" s="141" t="s">
        <v>1735</v>
      </c>
      <c r="C1292" s="137" t="s">
        <v>2456</v>
      </c>
      <c r="D1292" s="166" t="s">
        <v>2421</v>
      </c>
      <c r="E1292" s="110" t="s">
        <v>2427</v>
      </c>
      <c r="F1292" s="166" t="s">
        <v>128</v>
      </c>
      <c r="G1292" s="111" t="s">
        <v>968</v>
      </c>
    </row>
    <row r="1293" spans="2:7" ht="25.5" x14ac:dyDescent="0.25">
      <c r="B1293" s="141" t="s">
        <v>1735</v>
      </c>
      <c r="C1293" s="137" t="s">
        <v>2457</v>
      </c>
      <c r="D1293" s="166" t="s">
        <v>2421</v>
      </c>
      <c r="E1293" s="110" t="s">
        <v>1783</v>
      </c>
      <c r="F1293" s="166" t="s">
        <v>128</v>
      </c>
      <c r="G1293" s="111" t="s">
        <v>968</v>
      </c>
    </row>
    <row r="1294" spans="2:7" ht="25.5" x14ac:dyDescent="0.25">
      <c r="B1294" s="141" t="s">
        <v>1735</v>
      </c>
      <c r="C1294" s="137" t="s">
        <v>2458</v>
      </c>
      <c r="D1294" s="166" t="s">
        <v>2421</v>
      </c>
      <c r="E1294" s="110" t="s">
        <v>2427</v>
      </c>
      <c r="F1294" s="166" t="s">
        <v>128</v>
      </c>
      <c r="G1294" s="111" t="s">
        <v>968</v>
      </c>
    </row>
    <row r="1295" spans="2:7" ht="25.5" x14ac:dyDescent="0.25">
      <c r="B1295" s="141" t="s">
        <v>1735</v>
      </c>
      <c r="C1295" s="137" t="s">
        <v>2459</v>
      </c>
      <c r="D1295" s="166" t="s">
        <v>2421</v>
      </c>
      <c r="E1295" s="110" t="s">
        <v>2425</v>
      </c>
      <c r="F1295" s="166" t="s">
        <v>128</v>
      </c>
      <c r="G1295" s="111" t="s">
        <v>968</v>
      </c>
    </row>
    <row r="1296" spans="2:7" ht="25.5" x14ac:dyDescent="0.25">
      <c r="B1296" s="141" t="s">
        <v>1735</v>
      </c>
      <c r="C1296" s="137" t="s">
        <v>2460</v>
      </c>
      <c r="D1296" s="166" t="s">
        <v>2461</v>
      </c>
      <c r="E1296" s="110" t="s">
        <v>1783</v>
      </c>
      <c r="F1296" s="166" t="s">
        <v>128</v>
      </c>
      <c r="G1296" s="111" t="s">
        <v>968</v>
      </c>
    </row>
    <row r="1297" spans="2:7" ht="25.5" x14ac:dyDescent="0.25">
      <c r="B1297" s="141" t="s">
        <v>1735</v>
      </c>
      <c r="C1297" s="137" t="s">
        <v>2462</v>
      </c>
      <c r="D1297" s="166" t="s">
        <v>2461</v>
      </c>
      <c r="E1297" s="110" t="s">
        <v>1783</v>
      </c>
      <c r="F1297" s="166" t="s">
        <v>128</v>
      </c>
      <c r="G1297" s="111" t="s">
        <v>968</v>
      </c>
    </row>
    <row r="1298" spans="2:7" ht="25.5" x14ac:dyDescent="0.25">
      <c r="B1298" s="141" t="s">
        <v>1735</v>
      </c>
      <c r="C1298" s="137" t="s">
        <v>2463</v>
      </c>
      <c r="D1298" s="166" t="s">
        <v>2461</v>
      </c>
      <c r="E1298" s="110" t="s">
        <v>1783</v>
      </c>
      <c r="F1298" s="166" t="s">
        <v>128</v>
      </c>
      <c r="G1298" s="111" t="s">
        <v>968</v>
      </c>
    </row>
    <row r="1299" spans="2:7" ht="25.5" x14ac:dyDescent="0.25">
      <c r="B1299" s="141" t="s">
        <v>1735</v>
      </c>
      <c r="C1299" s="137" t="s">
        <v>2464</v>
      </c>
      <c r="D1299" s="166" t="s">
        <v>2461</v>
      </c>
      <c r="E1299" s="110" t="s">
        <v>2427</v>
      </c>
      <c r="F1299" s="166" t="s">
        <v>128</v>
      </c>
      <c r="G1299" s="111" t="s">
        <v>968</v>
      </c>
    </row>
    <row r="1300" spans="2:7" ht="25.5" x14ac:dyDescent="0.25">
      <c r="B1300" s="141" t="s">
        <v>1735</v>
      </c>
      <c r="C1300" s="137" t="s">
        <v>2465</v>
      </c>
      <c r="D1300" s="166" t="s">
        <v>2461</v>
      </c>
      <c r="E1300" s="110" t="s">
        <v>2427</v>
      </c>
      <c r="F1300" s="166" t="s">
        <v>128</v>
      </c>
      <c r="G1300" s="111" t="s">
        <v>968</v>
      </c>
    </row>
    <row r="1301" spans="2:7" ht="25.5" x14ac:dyDescent="0.25">
      <c r="B1301" s="141" t="s">
        <v>1735</v>
      </c>
      <c r="C1301" s="137" t="s">
        <v>2466</v>
      </c>
      <c r="D1301" s="166" t="s">
        <v>2461</v>
      </c>
      <c r="E1301" s="110" t="s">
        <v>2425</v>
      </c>
      <c r="F1301" s="166" t="s">
        <v>128</v>
      </c>
      <c r="G1301" s="111" t="s">
        <v>968</v>
      </c>
    </row>
    <row r="1302" spans="2:7" ht="25.5" x14ac:dyDescent="0.25">
      <c r="B1302" s="141" t="s">
        <v>1735</v>
      </c>
      <c r="C1302" s="137" t="s">
        <v>2467</v>
      </c>
      <c r="D1302" s="166" t="s">
        <v>2461</v>
      </c>
      <c r="E1302" s="110" t="s">
        <v>2425</v>
      </c>
      <c r="F1302" s="166" t="s">
        <v>128</v>
      </c>
      <c r="G1302" s="111" t="s">
        <v>968</v>
      </c>
    </row>
    <row r="1303" spans="2:7" ht="25.5" x14ac:dyDescent="0.25">
      <c r="B1303" s="141" t="s">
        <v>1735</v>
      </c>
      <c r="C1303" s="137" t="s">
        <v>2468</v>
      </c>
      <c r="D1303" s="166" t="s">
        <v>2461</v>
      </c>
      <c r="E1303" s="110" t="s">
        <v>2427</v>
      </c>
      <c r="F1303" s="166" t="s">
        <v>128</v>
      </c>
      <c r="G1303" s="111" t="s">
        <v>968</v>
      </c>
    </row>
    <row r="1304" spans="2:7" ht="25.5" x14ac:dyDescent="0.25">
      <c r="B1304" s="141" t="s">
        <v>1735</v>
      </c>
      <c r="C1304" s="137" t="s">
        <v>2469</v>
      </c>
      <c r="D1304" s="166" t="s">
        <v>2461</v>
      </c>
      <c r="E1304" s="110" t="s">
        <v>1783</v>
      </c>
      <c r="F1304" s="166" t="s">
        <v>128</v>
      </c>
      <c r="G1304" s="111" t="s">
        <v>968</v>
      </c>
    </row>
    <row r="1305" spans="2:7" ht="25.5" x14ac:dyDescent="0.25">
      <c r="B1305" s="141" t="s">
        <v>1735</v>
      </c>
      <c r="C1305" s="137" t="s">
        <v>2470</v>
      </c>
      <c r="D1305" s="166" t="s">
        <v>2461</v>
      </c>
      <c r="E1305" s="110" t="s">
        <v>1783</v>
      </c>
      <c r="F1305" s="166" t="s">
        <v>128</v>
      </c>
      <c r="G1305" s="111" t="s">
        <v>968</v>
      </c>
    </row>
    <row r="1306" spans="2:7" ht="25.5" x14ac:dyDescent="0.25">
      <c r="B1306" s="141" t="s">
        <v>1735</v>
      </c>
      <c r="C1306" s="137" t="s">
        <v>2471</v>
      </c>
      <c r="D1306" s="166" t="s">
        <v>2461</v>
      </c>
      <c r="E1306" s="110" t="s">
        <v>1783</v>
      </c>
      <c r="F1306" s="166" t="s">
        <v>128</v>
      </c>
      <c r="G1306" s="111" t="s">
        <v>968</v>
      </c>
    </row>
    <row r="1307" spans="2:7" ht="25.5" x14ac:dyDescent="0.25">
      <c r="B1307" s="141" t="s">
        <v>1735</v>
      </c>
      <c r="C1307" s="137" t="s">
        <v>2472</v>
      </c>
      <c r="D1307" s="166" t="s">
        <v>2461</v>
      </c>
      <c r="E1307" s="110" t="s">
        <v>2427</v>
      </c>
      <c r="F1307" s="166" t="s">
        <v>128</v>
      </c>
      <c r="G1307" s="111" t="s">
        <v>968</v>
      </c>
    </row>
    <row r="1308" spans="2:7" ht="25.5" x14ac:dyDescent="0.25">
      <c r="B1308" s="141" t="s">
        <v>1735</v>
      </c>
      <c r="C1308" s="137" t="s">
        <v>2473</v>
      </c>
      <c r="D1308" s="166" t="s">
        <v>2461</v>
      </c>
      <c r="E1308" s="110" t="s">
        <v>2427</v>
      </c>
      <c r="F1308" s="166" t="s">
        <v>128</v>
      </c>
      <c r="G1308" s="111" t="s">
        <v>968</v>
      </c>
    </row>
    <row r="1309" spans="2:7" ht="25.5" x14ac:dyDescent="0.25">
      <c r="B1309" s="141" t="s">
        <v>1735</v>
      </c>
      <c r="C1309" s="137" t="s">
        <v>2474</v>
      </c>
      <c r="D1309" s="166" t="s">
        <v>2461</v>
      </c>
      <c r="E1309" s="110" t="s">
        <v>2425</v>
      </c>
      <c r="F1309" s="166" t="s">
        <v>128</v>
      </c>
      <c r="G1309" s="111" t="s">
        <v>968</v>
      </c>
    </row>
    <row r="1310" spans="2:7" ht="25.5" x14ac:dyDescent="0.25">
      <c r="B1310" s="141" t="s">
        <v>1735</v>
      </c>
      <c r="C1310" s="137" t="s">
        <v>2475</v>
      </c>
      <c r="D1310" s="166" t="s">
        <v>2461</v>
      </c>
      <c r="E1310" s="110" t="s">
        <v>2425</v>
      </c>
      <c r="F1310" s="166" t="s">
        <v>128</v>
      </c>
      <c r="G1310" s="111" t="s">
        <v>968</v>
      </c>
    </row>
    <row r="1311" spans="2:7" ht="25.5" x14ac:dyDescent="0.25">
      <c r="B1311" s="141" t="s">
        <v>1735</v>
      </c>
      <c r="C1311" s="137" t="s">
        <v>2476</v>
      </c>
      <c r="D1311" s="166" t="s">
        <v>2461</v>
      </c>
      <c r="E1311" s="110" t="s">
        <v>2427</v>
      </c>
      <c r="F1311" s="166" t="s">
        <v>128</v>
      </c>
      <c r="G1311" s="111" t="s">
        <v>968</v>
      </c>
    </row>
    <row r="1312" spans="2:7" ht="25.5" x14ac:dyDescent="0.25">
      <c r="B1312" s="141" t="s">
        <v>1735</v>
      </c>
      <c r="C1312" s="137" t="s">
        <v>2477</v>
      </c>
      <c r="D1312" s="166" t="s">
        <v>2461</v>
      </c>
      <c r="E1312" s="110" t="s">
        <v>2425</v>
      </c>
      <c r="F1312" s="166" t="s">
        <v>128</v>
      </c>
      <c r="G1312" s="111" t="s">
        <v>968</v>
      </c>
    </row>
    <row r="1313" spans="2:7" ht="25.5" x14ac:dyDescent="0.25">
      <c r="B1313" s="141" t="s">
        <v>1735</v>
      </c>
      <c r="C1313" s="137" t="s">
        <v>2478</v>
      </c>
      <c r="D1313" s="166" t="s">
        <v>2461</v>
      </c>
      <c r="E1313" s="110" t="s">
        <v>1783</v>
      </c>
      <c r="F1313" s="166" t="s">
        <v>128</v>
      </c>
      <c r="G1313" s="111" t="s">
        <v>968</v>
      </c>
    </row>
    <row r="1314" spans="2:7" ht="25.5" x14ac:dyDescent="0.25">
      <c r="B1314" s="141" t="s">
        <v>1735</v>
      </c>
      <c r="C1314" s="137" t="s">
        <v>2479</v>
      </c>
      <c r="D1314" s="166" t="s">
        <v>2461</v>
      </c>
      <c r="E1314" s="110" t="s">
        <v>1783</v>
      </c>
      <c r="F1314" s="166" t="s">
        <v>128</v>
      </c>
      <c r="G1314" s="111" t="s">
        <v>968</v>
      </c>
    </row>
    <row r="1315" spans="2:7" ht="25.5" x14ac:dyDescent="0.25">
      <c r="B1315" s="141" t="s">
        <v>1735</v>
      </c>
      <c r="C1315" s="137" t="s">
        <v>2480</v>
      </c>
      <c r="D1315" s="166" t="s">
        <v>2461</v>
      </c>
      <c r="E1315" s="110" t="s">
        <v>2427</v>
      </c>
      <c r="F1315" s="166" t="s">
        <v>128</v>
      </c>
      <c r="G1315" s="111" t="s">
        <v>968</v>
      </c>
    </row>
    <row r="1316" spans="2:7" ht="25.5" x14ac:dyDescent="0.25">
      <c r="B1316" s="141" t="s">
        <v>1735</v>
      </c>
      <c r="C1316" s="137" t="s">
        <v>2481</v>
      </c>
      <c r="D1316" s="166" t="s">
        <v>2461</v>
      </c>
      <c r="E1316" s="110" t="s">
        <v>2427</v>
      </c>
      <c r="F1316" s="166" t="s">
        <v>128</v>
      </c>
      <c r="G1316" s="111" t="s">
        <v>968</v>
      </c>
    </row>
    <row r="1317" spans="2:7" ht="25.5" x14ac:dyDescent="0.25">
      <c r="B1317" s="141" t="s">
        <v>1735</v>
      </c>
      <c r="C1317" s="137" t="s">
        <v>2482</v>
      </c>
      <c r="D1317" s="166" t="s">
        <v>2461</v>
      </c>
      <c r="E1317" s="110" t="s">
        <v>1783</v>
      </c>
      <c r="F1317" s="166" t="s">
        <v>128</v>
      </c>
      <c r="G1317" s="111" t="s">
        <v>968</v>
      </c>
    </row>
    <row r="1318" spans="2:7" ht="25.5" x14ac:dyDescent="0.25">
      <c r="B1318" s="141" t="s">
        <v>1735</v>
      </c>
      <c r="C1318" s="137" t="s">
        <v>2483</v>
      </c>
      <c r="D1318" s="166" t="s">
        <v>2461</v>
      </c>
      <c r="E1318" s="110" t="s">
        <v>1783</v>
      </c>
      <c r="F1318" s="166" t="s">
        <v>128</v>
      </c>
      <c r="G1318" s="111" t="s">
        <v>968</v>
      </c>
    </row>
    <row r="1319" spans="2:7" ht="25.5" x14ac:dyDescent="0.25">
      <c r="B1319" s="141" t="s">
        <v>1735</v>
      </c>
      <c r="C1319" s="137" t="s">
        <v>2484</v>
      </c>
      <c r="D1319" s="166" t="s">
        <v>2461</v>
      </c>
      <c r="E1319" s="110" t="s">
        <v>1783</v>
      </c>
      <c r="F1319" s="166" t="s">
        <v>128</v>
      </c>
      <c r="G1319" s="111" t="s">
        <v>968</v>
      </c>
    </row>
    <row r="1320" spans="2:7" ht="25.5" x14ac:dyDescent="0.25">
      <c r="B1320" s="141" t="s">
        <v>1735</v>
      </c>
      <c r="C1320" s="137" t="s">
        <v>2485</v>
      </c>
      <c r="D1320" s="166" t="s">
        <v>2461</v>
      </c>
      <c r="E1320" s="110" t="s">
        <v>1783</v>
      </c>
      <c r="F1320" s="166" t="s">
        <v>128</v>
      </c>
      <c r="G1320" s="111" t="s">
        <v>968</v>
      </c>
    </row>
    <row r="1321" spans="2:7" ht="25.5" x14ac:dyDescent="0.25">
      <c r="B1321" s="141" t="s">
        <v>1735</v>
      </c>
      <c r="C1321" s="137" t="s">
        <v>2486</v>
      </c>
      <c r="D1321" s="166" t="s">
        <v>2461</v>
      </c>
      <c r="E1321" s="110" t="s">
        <v>2427</v>
      </c>
      <c r="F1321" s="166" t="s">
        <v>128</v>
      </c>
      <c r="G1321" s="111" t="s">
        <v>968</v>
      </c>
    </row>
    <row r="1322" spans="2:7" ht="25.5" x14ac:dyDescent="0.25">
      <c r="B1322" s="141" t="s">
        <v>1735</v>
      </c>
      <c r="C1322" s="137" t="s">
        <v>2487</v>
      </c>
      <c r="D1322" s="166" t="s">
        <v>2461</v>
      </c>
      <c r="E1322" s="110" t="s">
        <v>2427</v>
      </c>
      <c r="F1322" s="166" t="s">
        <v>128</v>
      </c>
      <c r="G1322" s="111" t="s">
        <v>968</v>
      </c>
    </row>
    <row r="1323" spans="2:7" ht="25.5" x14ac:dyDescent="0.25">
      <c r="B1323" s="141" t="s">
        <v>1735</v>
      </c>
      <c r="C1323" s="137" t="s">
        <v>2488</v>
      </c>
      <c r="D1323" s="166" t="s">
        <v>2461</v>
      </c>
      <c r="E1323" s="110" t="s">
        <v>2425</v>
      </c>
      <c r="F1323" s="166" t="s">
        <v>128</v>
      </c>
      <c r="G1323" s="111" t="s">
        <v>968</v>
      </c>
    </row>
    <row r="1324" spans="2:7" ht="25.5" x14ac:dyDescent="0.25">
      <c r="B1324" s="141" t="s">
        <v>1735</v>
      </c>
      <c r="C1324" s="137" t="s">
        <v>2489</v>
      </c>
      <c r="D1324" s="166" t="s">
        <v>2461</v>
      </c>
      <c r="E1324" s="110" t="s">
        <v>2425</v>
      </c>
      <c r="F1324" s="166" t="s">
        <v>128</v>
      </c>
      <c r="G1324" s="111" t="s">
        <v>968</v>
      </c>
    </row>
    <row r="1325" spans="2:7" ht="25.5" x14ac:dyDescent="0.25">
      <c r="B1325" s="141" t="s">
        <v>1735</v>
      </c>
      <c r="C1325" s="137" t="s">
        <v>2490</v>
      </c>
      <c r="D1325" s="166" t="s">
        <v>2461</v>
      </c>
      <c r="E1325" s="110" t="s">
        <v>2427</v>
      </c>
      <c r="F1325" s="166" t="s">
        <v>128</v>
      </c>
      <c r="G1325" s="111" t="s">
        <v>968</v>
      </c>
    </row>
    <row r="1326" spans="2:7" ht="25.5" x14ac:dyDescent="0.25">
      <c r="B1326" s="141" t="s">
        <v>1735</v>
      </c>
      <c r="C1326" s="137" t="s">
        <v>2491</v>
      </c>
      <c r="D1326" s="166" t="s">
        <v>2461</v>
      </c>
      <c r="E1326" s="110" t="s">
        <v>1783</v>
      </c>
      <c r="F1326" s="166" t="s">
        <v>128</v>
      </c>
      <c r="G1326" s="111" t="s">
        <v>968</v>
      </c>
    </row>
    <row r="1327" spans="2:7" ht="25.5" x14ac:dyDescent="0.25">
      <c r="B1327" s="141" t="s">
        <v>1735</v>
      </c>
      <c r="C1327" s="137" t="s">
        <v>2492</v>
      </c>
      <c r="D1327" s="166" t="s">
        <v>2461</v>
      </c>
      <c r="E1327" s="110" t="s">
        <v>1783</v>
      </c>
      <c r="F1327" s="166" t="s">
        <v>128</v>
      </c>
      <c r="G1327" s="111" t="s">
        <v>968</v>
      </c>
    </row>
    <row r="1328" spans="2:7" ht="25.5" x14ac:dyDescent="0.25">
      <c r="B1328" s="141" t="s">
        <v>1735</v>
      </c>
      <c r="C1328" s="137" t="s">
        <v>2493</v>
      </c>
      <c r="D1328" s="166" t="s">
        <v>2461</v>
      </c>
      <c r="E1328" s="110" t="s">
        <v>2427</v>
      </c>
      <c r="F1328" s="166" t="s">
        <v>128</v>
      </c>
      <c r="G1328" s="111" t="s">
        <v>968</v>
      </c>
    </row>
    <row r="1329" spans="2:7" ht="25.5" x14ac:dyDescent="0.25">
      <c r="B1329" s="141" t="s">
        <v>1735</v>
      </c>
      <c r="C1329" s="137" t="s">
        <v>2494</v>
      </c>
      <c r="D1329" s="166" t="s">
        <v>2461</v>
      </c>
      <c r="E1329" s="110" t="s">
        <v>2427</v>
      </c>
      <c r="F1329" s="166" t="s">
        <v>128</v>
      </c>
      <c r="G1329" s="111" t="s">
        <v>968</v>
      </c>
    </row>
    <row r="1330" spans="2:7" ht="25.5" x14ac:dyDescent="0.25">
      <c r="B1330" s="141" t="s">
        <v>1735</v>
      </c>
      <c r="C1330" s="137" t="s">
        <v>2495</v>
      </c>
      <c r="D1330" s="166" t="s">
        <v>2461</v>
      </c>
      <c r="E1330" s="110" t="s">
        <v>2425</v>
      </c>
      <c r="F1330" s="166" t="s">
        <v>128</v>
      </c>
      <c r="G1330" s="111" t="s">
        <v>968</v>
      </c>
    </row>
    <row r="1331" spans="2:7" ht="25.5" x14ac:dyDescent="0.25">
      <c r="B1331" s="141" t="s">
        <v>1735</v>
      </c>
      <c r="C1331" s="137" t="s">
        <v>2496</v>
      </c>
      <c r="D1331" s="166" t="s">
        <v>2461</v>
      </c>
      <c r="E1331" s="110" t="s">
        <v>2427</v>
      </c>
      <c r="F1331" s="166" t="s">
        <v>128</v>
      </c>
      <c r="G1331" s="111" t="s">
        <v>968</v>
      </c>
    </row>
    <row r="1332" spans="2:7" ht="25.5" x14ac:dyDescent="0.25">
      <c r="B1332" s="141" t="s">
        <v>1735</v>
      </c>
      <c r="C1332" s="137" t="s">
        <v>2497</v>
      </c>
      <c r="D1332" s="166" t="s">
        <v>2461</v>
      </c>
      <c r="E1332" s="110" t="s">
        <v>1783</v>
      </c>
      <c r="F1332" s="166" t="s">
        <v>128</v>
      </c>
      <c r="G1332" s="111" t="s">
        <v>968</v>
      </c>
    </row>
    <row r="1333" spans="2:7" ht="25.5" x14ac:dyDescent="0.25">
      <c r="B1333" s="141" t="s">
        <v>1735</v>
      </c>
      <c r="C1333" s="137" t="s">
        <v>2498</v>
      </c>
      <c r="D1333" s="166" t="s">
        <v>2461</v>
      </c>
      <c r="E1333" s="110" t="s">
        <v>1783</v>
      </c>
      <c r="F1333" s="166" t="s">
        <v>128</v>
      </c>
      <c r="G1333" s="111" t="s">
        <v>968</v>
      </c>
    </row>
    <row r="1334" spans="2:7" ht="25.5" x14ac:dyDescent="0.25">
      <c r="B1334" s="141" t="s">
        <v>1735</v>
      </c>
      <c r="C1334" s="137" t="s">
        <v>2499</v>
      </c>
      <c r="D1334" s="166" t="s">
        <v>2461</v>
      </c>
      <c r="E1334" s="110" t="s">
        <v>2427</v>
      </c>
      <c r="F1334" s="166" t="s">
        <v>128</v>
      </c>
      <c r="G1334" s="111" t="s">
        <v>968</v>
      </c>
    </row>
    <row r="1335" spans="2:7" ht="25.5" x14ac:dyDescent="0.25">
      <c r="B1335" s="141" t="s">
        <v>1735</v>
      </c>
      <c r="C1335" s="137" t="s">
        <v>2500</v>
      </c>
      <c r="D1335" s="166" t="s">
        <v>2461</v>
      </c>
      <c r="E1335" s="110" t="s">
        <v>2427</v>
      </c>
      <c r="F1335" s="166" t="s">
        <v>128</v>
      </c>
      <c r="G1335" s="111" t="s">
        <v>968</v>
      </c>
    </row>
    <row r="1336" spans="2:7" ht="25.5" x14ac:dyDescent="0.25">
      <c r="B1336" s="141" t="s">
        <v>1735</v>
      </c>
      <c r="C1336" s="137" t="s">
        <v>2501</v>
      </c>
      <c r="D1336" s="166" t="s">
        <v>2461</v>
      </c>
      <c r="E1336" s="110" t="s">
        <v>1783</v>
      </c>
      <c r="F1336" s="166" t="s">
        <v>128</v>
      </c>
      <c r="G1336" s="111" t="s">
        <v>968</v>
      </c>
    </row>
    <row r="1337" spans="2:7" ht="25.5" x14ac:dyDescent="0.25">
      <c r="B1337" s="141" t="s">
        <v>1735</v>
      </c>
      <c r="C1337" s="137" t="s">
        <v>2502</v>
      </c>
      <c r="D1337" s="166" t="s">
        <v>2461</v>
      </c>
      <c r="E1337" s="110" t="s">
        <v>2427</v>
      </c>
      <c r="F1337" s="166" t="s">
        <v>128</v>
      </c>
      <c r="G1337" s="111" t="s">
        <v>968</v>
      </c>
    </row>
    <row r="1338" spans="2:7" ht="25.5" x14ac:dyDescent="0.25">
      <c r="B1338" s="141" t="s">
        <v>1735</v>
      </c>
      <c r="C1338" s="137" t="s">
        <v>2503</v>
      </c>
      <c r="D1338" s="166" t="s">
        <v>2461</v>
      </c>
      <c r="E1338" s="110" t="s">
        <v>2427</v>
      </c>
      <c r="F1338" s="166"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2596</v>
      </c>
      <c r="C1486" s="134" t="s">
        <v>1346</v>
      </c>
      <c r="D1486" s="108" t="s">
        <v>1286</v>
      </c>
      <c r="E1486" s="108" t="s">
        <v>128</v>
      </c>
      <c r="F1486" s="108"/>
      <c r="G1486" s="109" t="s">
        <v>1311</v>
      </c>
    </row>
    <row r="1487" spans="2:7" x14ac:dyDescent="0.25">
      <c r="B1487" s="141" t="s">
        <v>2596</v>
      </c>
      <c r="C1487" s="133" t="s">
        <v>1347</v>
      </c>
      <c r="D1487" s="110" t="s">
        <v>1286</v>
      </c>
      <c r="E1487" s="110" t="s">
        <v>128</v>
      </c>
      <c r="F1487" s="110"/>
      <c r="G1487" s="111" t="s">
        <v>1334</v>
      </c>
    </row>
    <row r="1488" spans="2:7" x14ac:dyDescent="0.25">
      <c r="B1488" s="141" t="s">
        <v>2596</v>
      </c>
      <c r="C1488" s="133" t="s">
        <v>1348</v>
      </c>
      <c r="D1488" s="110" t="s">
        <v>1286</v>
      </c>
      <c r="E1488" s="110" t="s">
        <v>128</v>
      </c>
      <c r="F1488" s="110"/>
      <c r="G1488" s="111" t="s">
        <v>1313</v>
      </c>
    </row>
    <row r="1489" spans="2:7" x14ac:dyDescent="0.25">
      <c r="B1489" s="141" t="s">
        <v>2596</v>
      </c>
      <c r="C1489" s="133" t="s">
        <v>1349</v>
      </c>
      <c r="D1489" s="110" t="s">
        <v>1286</v>
      </c>
      <c r="E1489" s="110" t="s">
        <v>128</v>
      </c>
      <c r="F1489" s="110"/>
      <c r="G1489" s="111" t="s">
        <v>1315</v>
      </c>
    </row>
    <row r="1490" spans="2:7" x14ac:dyDescent="0.25">
      <c r="B1490" s="141" t="s">
        <v>2596</v>
      </c>
      <c r="C1490" s="133" t="s">
        <v>1350</v>
      </c>
      <c r="D1490" s="110" t="s">
        <v>1286</v>
      </c>
      <c r="E1490" s="110" t="s">
        <v>128</v>
      </c>
      <c r="F1490" s="110"/>
      <c r="G1490" s="111" t="s">
        <v>1351</v>
      </c>
    </row>
    <row r="1491" spans="2:7" x14ac:dyDescent="0.25">
      <c r="B1491" s="141" t="s">
        <v>2596</v>
      </c>
      <c r="C1491" s="133" t="s">
        <v>1352</v>
      </c>
      <c r="D1491" s="110" t="s">
        <v>1286</v>
      </c>
      <c r="E1491" s="110" t="s">
        <v>128</v>
      </c>
      <c r="F1491" s="110"/>
      <c r="G1491" s="111" t="s">
        <v>1317</v>
      </c>
    </row>
    <row r="1492" spans="2:7" x14ac:dyDescent="0.25">
      <c r="B1492" s="141" t="s">
        <v>2596</v>
      </c>
      <c r="C1492" s="133" t="s">
        <v>1353</v>
      </c>
      <c r="D1492" s="110" t="s">
        <v>1286</v>
      </c>
      <c r="E1492" s="110" t="s">
        <v>128</v>
      </c>
      <c r="F1492" s="110"/>
      <c r="G1492" s="111" t="s">
        <v>1336</v>
      </c>
    </row>
    <row r="1493" spans="2:7" x14ac:dyDescent="0.25">
      <c r="B1493" s="141" t="s">
        <v>2596</v>
      </c>
      <c r="C1493" s="133" t="s">
        <v>1354</v>
      </c>
      <c r="D1493" s="110" t="s">
        <v>1286</v>
      </c>
      <c r="E1493" s="110" t="s">
        <v>128</v>
      </c>
      <c r="F1493" s="110"/>
      <c r="G1493" s="111" t="s">
        <v>192</v>
      </c>
    </row>
    <row r="1494" spans="2:7" x14ac:dyDescent="0.25">
      <c r="B1494" s="141" t="s">
        <v>2596</v>
      </c>
      <c r="C1494" s="133" t="s">
        <v>1355</v>
      </c>
      <c r="D1494" s="110" t="s">
        <v>1319</v>
      </c>
      <c r="E1494" s="110" t="s">
        <v>128</v>
      </c>
      <c r="F1494" s="110"/>
      <c r="G1494" s="111" t="s">
        <v>224</v>
      </c>
    </row>
    <row r="1495" spans="2:7" x14ac:dyDescent="0.25">
      <c r="B1495" s="141" t="s">
        <v>2596</v>
      </c>
      <c r="C1495" s="133" t="s">
        <v>1356</v>
      </c>
      <c r="D1495" s="110" t="s">
        <v>1319</v>
      </c>
      <c r="E1495" s="110" t="s">
        <v>128</v>
      </c>
      <c r="F1495" s="110"/>
      <c r="G1495" s="111" t="s">
        <v>194</v>
      </c>
    </row>
    <row r="1496" spans="2:7" x14ac:dyDescent="0.25">
      <c r="B1496" s="141" t="s">
        <v>2596</v>
      </c>
      <c r="C1496" s="133" t="s">
        <v>1357</v>
      </c>
      <c r="D1496" s="110" t="s">
        <v>1319</v>
      </c>
      <c r="E1496" s="110" t="s">
        <v>128</v>
      </c>
      <c r="F1496" s="110"/>
      <c r="G1496" s="111" t="s">
        <v>232</v>
      </c>
    </row>
    <row r="1497" spans="2:7" x14ac:dyDescent="0.25">
      <c r="B1497" s="141" t="s">
        <v>2596</v>
      </c>
      <c r="C1497" s="133" t="s">
        <v>1358</v>
      </c>
      <c r="D1497" s="110" t="s">
        <v>1319</v>
      </c>
      <c r="E1497" s="110" t="s">
        <v>128</v>
      </c>
      <c r="F1497" s="110"/>
      <c r="G1497" s="111" t="s">
        <v>1323</v>
      </c>
    </row>
    <row r="1498" spans="2:7" x14ac:dyDescent="0.25">
      <c r="B1498" s="141" t="s">
        <v>2596</v>
      </c>
      <c r="C1498" s="133" t="s">
        <v>1359</v>
      </c>
      <c r="D1498" s="110" t="s">
        <v>1319</v>
      </c>
      <c r="E1498" s="110" t="s">
        <v>128</v>
      </c>
      <c r="F1498" s="110"/>
      <c r="G1498" s="111" t="s">
        <v>328</v>
      </c>
    </row>
    <row r="1499" spans="2:7" x14ac:dyDescent="0.25">
      <c r="B1499" s="141" t="s">
        <v>2596</v>
      </c>
      <c r="C1499" s="133" t="s">
        <v>1360</v>
      </c>
      <c r="D1499" s="110" t="s">
        <v>1319</v>
      </c>
      <c r="E1499" s="110" t="s">
        <v>128</v>
      </c>
      <c r="F1499" s="110"/>
      <c r="G1499" s="111" t="s">
        <v>1326</v>
      </c>
    </row>
    <row r="1500" spans="2:7" x14ac:dyDescent="0.25">
      <c r="B1500" s="141" t="s">
        <v>2596</v>
      </c>
      <c r="C1500" s="133" t="s">
        <v>1361</v>
      </c>
      <c r="D1500" s="110" t="s">
        <v>1319</v>
      </c>
      <c r="E1500" s="110" t="s">
        <v>128</v>
      </c>
      <c r="F1500" s="110"/>
      <c r="G1500" s="111" t="s">
        <v>1362</v>
      </c>
    </row>
    <row r="1501" spans="2:7" x14ac:dyDescent="0.25">
      <c r="B1501" s="141" t="s">
        <v>2596</v>
      </c>
      <c r="C1501" s="133" t="s">
        <v>1363</v>
      </c>
      <c r="D1501" s="110" t="s">
        <v>1286</v>
      </c>
      <c r="E1501" s="110" t="s">
        <v>128</v>
      </c>
      <c r="F1501" s="110"/>
      <c r="G1501" s="111" t="s">
        <v>1364</v>
      </c>
    </row>
    <row r="1502" spans="2:7" ht="25.5" x14ac:dyDescent="0.25">
      <c r="B1502" s="141" t="s">
        <v>2596</v>
      </c>
      <c r="C1502" s="133" t="s">
        <v>1365</v>
      </c>
      <c r="D1502" s="110" t="s">
        <v>1366</v>
      </c>
      <c r="E1502" s="110" t="s">
        <v>128</v>
      </c>
      <c r="F1502" s="110"/>
      <c r="G1502" s="111" t="s">
        <v>1367</v>
      </c>
    </row>
    <row r="1503" spans="2:7" ht="25.5" x14ac:dyDescent="0.25">
      <c r="B1503" s="141" t="s">
        <v>2596</v>
      </c>
      <c r="C1503" s="133" t="s">
        <v>1368</v>
      </c>
      <c r="D1503" s="110" t="s">
        <v>1366</v>
      </c>
      <c r="E1503" s="110" t="s">
        <v>128</v>
      </c>
      <c r="F1503" s="110"/>
      <c r="G1503" s="111" t="s">
        <v>1369</v>
      </c>
    </row>
    <row r="1504" spans="2:7" ht="25.5" x14ac:dyDescent="0.25">
      <c r="B1504" s="141" t="s">
        <v>2596</v>
      </c>
      <c r="C1504" s="133" t="s">
        <v>1370</v>
      </c>
      <c r="D1504" s="110" t="s">
        <v>1366</v>
      </c>
      <c r="E1504" s="110" t="s">
        <v>128</v>
      </c>
      <c r="F1504" s="110"/>
      <c r="G1504" s="111" t="s">
        <v>1371</v>
      </c>
    </row>
    <row r="1505" spans="2:7" ht="25.5" x14ac:dyDescent="0.25">
      <c r="B1505" s="141" t="s">
        <v>2596</v>
      </c>
      <c r="C1505" s="133" t="s">
        <v>1372</v>
      </c>
      <c r="D1505" s="110" t="s">
        <v>1366</v>
      </c>
      <c r="E1505" s="110" t="s">
        <v>128</v>
      </c>
      <c r="F1505" s="110"/>
      <c r="G1505" s="111" t="s">
        <v>1373</v>
      </c>
    </row>
    <row r="1506" spans="2:7" ht="25.5" x14ac:dyDescent="0.25">
      <c r="B1506" s="141" t="s">
        <v>2596</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1781</v>
      </c>
      <c r="D1637" s="110" t="s">
        <v>994</v>
      </c>
      <c r="E1637" s="110" t="s">
        <v>128</v>
      </c>
      <c r="F1637" s="110"/>
      <c r="G1637" s="111" t="s">
        <v>1782</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1788</v>
      </c>
      <c r="E1663" s="108" t="s">
        <v>1787</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Single</vt:lpstr>
      <vt:lpstr>Single Plain</vt:lpstr>
      <vt:lpstr>Revision Log</vt:lpstr>
      <vt:lpstr>Single, Plain, AFAL</vt:lpstr>
      <vt:lpstr>Dual</vt:lpstr>
      <vt:lpstr>Dual Plain</vt:lpstr>
      <vt:lpstr>Dual, Plain, AFAL</vt:lpstr>
      <vt:lpstr>Transmitter</vt:lpstr>
      <vt:lpstr>Transmitter Plain</vt:lpstr>
      <vt:lpstr>Transmitter, Plain, AFAL</vt:lpstr>
      <vt:lpstr>Single, Plain, Unc., AFAL</vt:lpstr>
      <vt:lpstr>PFA Calculator Validation</vt:lpstr>
      <vt:lpstr>Description and Accuracy Ref</vt:lpstr>
      <vt:lpstr>Accuracy</vt:lpstr>
      <vt:lpstr>Accuracy2</vt:lpstr>
      <vt:lpstr>Description</vt:lpstr>
      <vt:lpstr>Models</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Maldonado, Robert</cp:lastModifiedBy>
  <cp:lastPrinted>2019-09-18T21:06:58Z</cp:lastPrinted>
  <dcterms:created xsi:type="dcterms:W3CDTF">2006-09-16T00:00:00Z</dcterms:created>
  <dcterms:modified xsi:type="dcterms:W3CDTF">2019-09-19T17:01:39Z</dcterms:modified>
</cp:coreProperties>
</file>